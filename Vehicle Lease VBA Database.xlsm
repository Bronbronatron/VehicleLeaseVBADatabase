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bd1f9830804f310/Desktop/Bronwyn Young Experis Assignment/"/>
    </mc:Choice>
  </mc:AlternateContent>
  <xr:revisionPtr revIDLastSave="235" documentId="14_{AB2A6800-61B4-4949-AEB7-C36286EC2D57}" xr6:coauthVersionLast="47" xr6:coauthVersionMax="47" xr10:uidLastSave="{4180518B-B638-4542-A266-3393C8F3033E}"/>
  <bookViews>
    <workbookView xWindow="-108" yWindow="-108" windowWidth="23256" windowHeight="12576" activeTab="2" xr2:uid="{2E239958-9298-49E2-80F0-6A69214D4632}"/>
  </bookViews>
  <sheets>
    <sheet name="Vehicle" sheetId="1" r:id="rId1"/>
    <sheet name="Employee" sheetId="7" r:id="rId2"/>
    <sheet name="Request" sheetId="2" r:id="rId3"/>
    <sheet name="List" sheetId="3" state="hidden" r:id="rId4"/>
    <sheet name="Engine" sheetId="4" state="hidden" r:id="rId5"/>
  </sheets>
  <definedNames>
    <definedName name="Data_Start">Vehicle!$A$5</definedName>
    <definedName name="Dyn_Employee_ID">OFFSET(Employee!$A$5,1,0,Engine!$B$3,1)</definedName>
    <definedName name="Dyn_Full_Name">OFFSET(Employee!$D$5,1,0,Engine!$B$3,1)</definedName>
    <definedName name="Dyn_Name_of_Car">OFFSET(Vehicle!$B$5,1,0,Engine!$C$3,1)</definedName>
    <definedName name="Dyn_Request_ID">OFFSET(Request!$A$5,1,0,Engine!$B$9,1)</definedName>
    <definedName name="Dyn_Vehicle_ID">OFFSET(Vehicle!$A$5,1,0,Engine!$C$3,1)</definedName>
    <definedName name="Employee_Start">Employee!$A$5</definedName>
    <definedName name="Request_Start">Request!$A$5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1" i="7" l="1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6" i="7"/>
  <c r="D7" i="7"/>
  <c r="D8" i="7"/>
  <c r="D9" i="7"/>
  <c r="D10" i="7"/>
  <c r="D11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B3" i="4"/>
  <c r="C3" i="4"/>
  <c r="B9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2CE4338-DCE9-49D1-9416-7BA0CA15AA96}" keepAlive="1" name="Query - Table2" description="Connection to the 'Table2' query in the workbook." type="5" refreshedVersion="0" background="1" saveData="1">
    <dbPr connection="Provider=Microsoft.Mashup.OleDb.1;Data Source=$Workbook$;Location=Table2;Extended Properties=&quot;&quot;" command="SELECT * FROM [Table2]"/>
  </connection>
</connections>
</file>

<file path=xl/sharedStrings.xml><?xml version="1.0" encoding="utf-8"?>
<sst xmlns="http://schemas.openxmlformats.org/spreadsheetml/2006/main" count="954" uniqueCount="288">
  <si>
    <t>Name of the Car</t>
  </si>
  <si>
    <t>Location</t>
  </si>
  <si>
    <t>Vehicle Type</t>
  </si>
  <si>
    <t>Available From</t>
  </si>
  <si>
    <t>Lease Expiration Date</t>
  </si>
  <si>
    <t>Department</t>
  </si>
  <si>
    <t>Function</t>
  </si>
  <si>
    <t>Nature of Usage</t>
  </si>
  <si>
    <t>Kilometers per Week</t>
  </si>
  <si>
    <t>Date of Request</t>
  </si>
  <si>
    <t>Utrecht</t>
  </si>
  <si>
    <t>Sedan</t>
  </si>
  <si>
    <t>Rotterdam</t>
  </si>
  <si>
    <t>Eindhoven</t>
  </si>
  <si>
    <t>Amsterdam</t>
  </si>
  <si>
    <t>Audi A1</t>
  </si>
  <si>
    <t>Compact Car</t>
  </si>
  <si>
    <t>VW Tiguan</t>
  </si>
  <si>
    <t>Opel Mokka</t>
  </si>
  <si>
    <t>Mercedes GLK</t>
  </si>
  <si>
    <t>SUV</t>
  </si>
  <si>
    <t>Transporter</t>
  </si>
  <si>
    <t>Taken</t>
  </si>
  <si>
    <t>Yes</t>
  </si>
  <si>
    <t>No</t>
  </si>
  <si>
    <t>Mode</t>
  </si>
  <si>
    <t>Row Store</t>
  </si>
  <si>
    <t>Sales</t>
  </si>
  <si>
    <t>I.T.</t>
  </si>
  <si>
    <t>H.R.</t>
  </si>
  <si>
    <t>Marketing</t>
  </si>
  <si>
    <t>Personal</t>
  </si>
  <si>
    <t>Professional</t>
  </si>
  <si>
    <t>Manager</t>
  </si>
  <si>
    <t>Team Lead</t>
  </si>
  <si>
    <t>Support</t>
  </si>
  <si>
    <t>Trainer</t>
  </si>
  <si>
    <t>Proposed Start Use</t>
  </si>
  <si>
    <t>Proposed End Use</t>
  </si>
  <si>
    <t xml:space="preserve"> </t>
  </si>
  <si>
    <t xml:space="preserve">Manufacturing </t>
  </si>
  <si>
    <t>Help desk</t>
  </si>
  <si>
    <t>Requested</t>
  </si>
  <si>
    <t>Full Name</t>
  </si>
  <si>
    <t xml:space="preserve"> First Name</t>
  </si>
  <si>
    <t>Surname</t>
  </si>
  <si>
    <t>Manufacturing</t>
  </si>
  <si>
    <t xml:space="preserve">Employees </t>
  </si>
  <si>
    <t>Total Enteries in Database (Max 10000)</t>
  </si>
  <si>
    <t>Request Status</t>
  </si>
  <si>
    <t>In consultation</t>
  </si>
  <si>
    <t xml:space="preserve">Rejected </t>
  </si>
  <si>
    <t xml:space="preserve">Reason For Rejection </t>
  </si>
  <si>
    <t>N/A</t>
  </si>
  <si>
    <t>Other</t>
  </si>
  <si>
    <t>Requested Dates</t>
  </si>
  <si>
    <t>Car Type</t>
  </si>
  <si>
    <t>Request</t>
  </si>
  <si>
    <t xml:space="preserve"> Vehicle</t>
  </si>
  <si>
    <t>Approved</t>
  </si>
  <si>
    <t>Date Updated</t>
  </si>
  <si>
    <t>Reason for Rejection</t>
  </si>
  <si>
    <t>Turner</t>
  </si>
  <si>
    <t>Stewart</t>
  </si>
  <si>
    <t>Joann</t>
  </si>
  <si>
    <t>Leatherbarrow</t>
  </si>
  <si>
    <t>Letty</t>
  </si>
  <si>
    <t>Sneddon</t>
  </si>
  <si>
    <t>Tracee</t>
  </si>
  <si>
    <t>Orts</t>
  </si>
  <si>
    <t>Ruthie</t>
  </si>
  <si>
    <t>Cleve</t>
  </si>
  <si>
    <t>Nahum</t>
  </si>
  <si>
    <t>Regenhardt</t>
  </si>
  <si>
    <t>Murvyn</t>
  </si>
  <si>
    <t>Harbisher</t>
  </si>
  <si>
    <t>Fitz</t>
  </si>
  <si>
    <t>Charnick</t>
  </si>
  <si>
    <t>Wenonah</t>
  </si>
  <si>
    <t>Louedey</t>
  </si>
  <si>
    <t>Marlo</t>
  </si>
  <si>
    <t>Figura</t>
  </si>
  <si>
    <t>Stephanus</t>
  </si>
  <si>
    <t>Laroux</t>
  </si>
  <si>
    <t>Jacinthe</t>
  </si>
  <si>
    <t>Godard</t>
  </si>
  <si>
    <t>Floria</t>
  </si>
  <si>
    <t>Hehnke</t>
  </si>
  <si>
    <t>Forester</t>
  </si>
  <si>
    <t>Orehead</t>
  </si>
  <si>
    <t>Lucretia</t>
  </si>
  <si>
    <t>Fanning</t>
  </si>
  <si>
    <t>Shayla</t>
  </si>
  <si>
    <t>Myrtle</t>
  </si>
  <si>
    <t>Malanie</t>
  </si>
  <si>
    <t>Donnersberg</t>
  </si>
  <si>
    <t>Rebe</t>
  </si>
  <si>
    <t>Haxby</t>
  </si>
  <si>
    <t>Saw</t>
  </si>
  <si>
    <t>Hembry</t>
  </si>
  <si>
    <t>Alfy</t>
  </si>
  <si>
    <t>Grice</t>
  </si>
  <si>
    <t>Chet</t>
  </si>
  <si>
    <t>Ivancevic</t>
  </si>
  <si>
    <t>Jacenta</t>
  </si>
  <si>
    <t>Balloch</t>
  </si>
  <si>
    <t>Boycie</t>
  </si>
  <si>
    <t>MacMenemy</t>
  </si>
  <si>
    <t>Silvio</t>
  </si>
  <si>
    <t>Abbison</t>
  </si>
  <si>
    <t>Jenica</t>
  </si>
  <si>
    <t>Chilles</t>
  </si>
  <si>
    <t>Brendan</t>
  </si>
  <si>
    <t>Bushell</t>
  </si>
  <si>
    <t>Bondon</t>
  </si>
  <si>
    <t>Sivyer</t>
  </si>
  <si>
    <t>Phineas</t>
  </si>
  <si>
    <t>Vollam</t>
  </si>
  <si>
    <t>Holly</t>
  </si>
  <si>
    <t>Norwich</t>
  </si>
  <si>
    <t>Josefina</t>
  </si>
  <si>
    <t>Winslet</t>
  </si>
  <si>
    <t>Iozefovich</t>
  </si>
  <si>
    <t>Silas</t>
  </si>
  <si>
    <t>Drew</t>
  </si>
  <si>
    <t>Crystal</t>
  </si>
  <si>
    <t>Tidy</t>
  </si>
  <si>
    <t>Josi</t>
  </si>
  <si>
    <t>Dulen</t>
  </si>
  <si>
    <t>Ikey</t>
  </si>
  <si>
    <t>Dron</t>
  </si>
  <si>
    <t>Lorrie</t>
  </si>
  <si>
    <t>Dowsett</t>
  </si>
  <si>
    <t>Ronna</t>
  </si>
  <si>
    <t>Brute</t>
  </si>
  <si>
    <t>Terra</t>
  </si>
  <si>
    <t>Martinie</t>
  </si>
  <si>
    <t>Elladine</t>
  </si>
  <si>
    <t>Loynton</t>
  </si>
  <si>
    <t>Ambrose</t>
  </si>
  <si>
    <t>Waberer</t>
  </si>
  <si>
    <t>Loralyn</t>
  </si>
  <si>
    <t>MacRinn</t>
  </si>
  <si>
    <t>Orran</t>
  </si>
  <si>
    <t>Vlies</t>
  </si>
  <si>
    <t>Christiane</t>
  </si>
  <si>
    <t>Kohrs</t>
  </si>
  <si>
    <t>Jacquetta</t>
  </si>
  <si>
    <t>Deluze</t>
  </si>
  <si>
    <t>Eugenie</t>
  </si>
  <si>
    <t>Purkess</t>
  </si>
  <si>
    <t>Kinna</t>
  </si>
  <si>
    <t>Sorrill</t>
  </si>
  <si>
    <t>Claudie</t>
  </si>
  <si>
    <t>Zapata</t>
  </si>
  <si>
    <t>Vera</t>
  </si>
  <si>
    <t>Wilkin</t>
  </si>
  <si>
    <t>Chrystel</t>
  </si>
  <si>
    <t>Elstow</t>
  </si>
  <si>
    <t>Dixie</t>
  </si>
  <si>
    <t>Layborn</t>
  </si>
  <si>
    <t>Keane</t>
  </si>
  <si>
    <t>Noblet</t>
  </si>
  <si>
    <t>Elli</t>
  </si>
  <si>
    <t>Viscovi</t>
  </si>
  <si>
    <t>Elliot</t>
  </si>
  <si>
    <t>Ogborne</t>
  </si>
  <si>
    <t>Joanna</t>
  </si>
  <si>
    <t>Egger</t>
  </si>
  <si>
    <t>Gilburt</t>
  </si>
  <si>
    <t>Le Maitre</t>
  </si>
  <si>
    <t>Jaquenette</t>
  </si>
  <si>
    <t>Terris</t>
  </si>
  <si>
    <t>Raine</t>
  </si>
  <si>
    <t>Large</t>
  </si>
  <si>
    <t>Shurlocke</t>
  </si>
  <si>
    <t>Panyer</t>
  </si>
  <si>
    <t>Alexio</t>
  </si>
  <si>
    <t>Minichi</t>
  </si>
  <si>
    <t>Tess</t>
  </si>
  <si>
    <t>Horsey</t>
  </si>
  <si>
    <t>Tamara</t>
  </si>
  <si>
    <t>Fortoun</t>
  </si>
  <si>
    <t>Cos</t>
  </si>
  <si>
    <t>Wethered</t>
  </si>
  <si>
    <t>Dannye</t>
  </si>
  <si>
    <t>Beall</t>
  </si>
  <si>
    <t>Maryann</t>
  </si>
  <si>
    <t>Bone</t>
  </si>
  <si>
    <t>Dotty</t>
  </si>
  <si>
    <t>Jandera</t>
  </si>
  <si>
    <t>Ricki</t>
  </si>
  <si>
    <t>Ellins</t>
  </si>
  <si>
    <t>Viv</t>
  </si>
  <si>
    <t>Biesterfeld</t>
  </si>
  <si>
    <t>Salvador</t>
  </si>
  <si>
    <t>Khan</t>
  </si>
  <si>
    <t>Beaufort</t>
  </si>
  <si>
    <t>Liell</t>
  </si>
  <si>
    <t>Brandy</t>
  </si>
  <si>
    <t>Bartolomeoni</t>
  </si>
  <si>
    <t>Ramsay</t>
  </si>
  <si>
    <t>Millsap</t>
  </si>
  <si>
    <t>Willamina</t>
  </si>
  <si>
    <t>Cale</t>
  </si>
  <si>
    <t>Inessa</t>
  </si>
  <si>
    <t>Bagshaw</t>
  </si>
  <si>
    <t>Marjy</t>
  </si>
  <si>
    <t>Logsdail</t>
  </si>
  <si>
    <t>Burke</t>
  </si>
  <si>
    <t>Bewfield</t>
  </si>
  <si>
    <t>Chrystal</t>
  </si>
  <si>
    <t>Pinxton</t>
  </si>
  <si>
    <t>Gregorio</t>
  </si>
  <si>
    <t>Kensley</t>
  </si>
  <si>
    <t>Cy</t>
  </si>
  <si>
    <t>Sieur</t>
  </si>
  <si>
    <t>Ivory</t>
  </si>
  <si>
    <t>Rockhill</t>
  </si>
  <si>
    <t>Jamieson</t>
  </si>
  <si>
    <t>Estella</t>
  </si>
  <si>
    <t>Tanzer</t>
  </si>
  <si>
    <t>Nanon</t>
  </si>
  <si>
    <t>Boord</t>
  </si>
  <si>
    <t>Claudianus</t>
  </si>
  <si>
    <t>Darte</t>
  </si>
  <si>
    <t>Kimbra</t>
  </si>
  <si>
    <t>Merriman</t>
  </si>
  <si>
    <t>Levin</t>
  </si>
  <si>
    <t>Kidwell</t>
  </si>
  <si>
    <t>Zsa zsa</t>
  </si>
  <si>
    <t>Clubb</t>
  </si>
  <si>
    <t>Killy</t>
  </si>
  <si>
    <t>Bert</t>
  </si>
  <si>
    <t>Roda</t>
  </si>
  <si>
    <t>Ubsdell</t>
  </si>
  <si>
    <t>Aline</t>
  </si>
  <si>
    <t>Urlich</t>
  </si>
  <si>
    <t>Emmet</t>
  </si>
  <si>
    <t>Lett</t>
  </si>
  <si>
    <t>Katine</t>
  </si>
  <si>
    <t>Kaines</t>
  </si>
  <si>
    <t>Wally</t>
  </si>
  <si>
    <t>Richardsson</t>
  </si>
  <si>
    <t>Byrle</t>
  </si>
  <si>
    <t>Risborough</t>
  </si>
  <si>
    <t>Delmore</t>
  </si>
  <si>
    <t>Eager</t>
  </si>
  <si>
    <t>Sharlene</t>
  </si>
  <si>
    <t>Stringer</t>
  </si>
  <si>
    <t>Nevins</t>
  </si>
  <si>
    <t>Swynley</t>
  </si>
  <si>
    <t>Katey</t>
  </si>
  <si>
    <t>Gianilli</t>
  </si>
  <si>
    <t>Shandy</t>
  </si>
  <si>
    <t>Kaubisch</t>
  </si>
  <si>
    <t>Kipp</t>
  </si>
  <si>
    <t>Garrit</t>
  </si>
  <si>
    <t>Ravid</t>
  </si>
  <si>
    <t>Dailly</t>
  </si>
  <si>
    <t>Anstice</t>
  </si>
  <si>
    <t>Blanchflower</t>
  </si>
  <si>
    <t>Request ID</t>
  </si>
  <si>
    <t>Employee ID</t>
  </si>
  <si>
    <t>Vehicle ID</t>
  </si>
  <si>
    <t>Professional &amp; Personal</t>
  </si>
  <si>
    <t>Available</t>
  </si>
  <si>
    <t>Fitz Charnick</t>
  </si>
  <si>
    <t>Audi A4</t>
  </si>
  <si>
    <t>BMW 3</t>
  </si>
  <si>
    <t>Mercedes E Class</t>
  </si>
  <si>
    <t>Honda Civic</t>
  </si>
  <si>
    <t>Opel Corsa</t>
  </si>
  <si>
    <t>Compact car</t>
  </si>
  <si>
    <t>KIA Pincanto</t>
  </si>
  <si>
    <t>KIA Niro</t>
  </si>
  <si>
    <t>VM T6 Multivan</t>
  </si>
  <si>
    <t>Mercedes Vito Tourer</t>
  </si>
  <si>
    <t>Opel Zafira</t>
  </si>
  <si>
    <t>Citroean SpaceTourer</t>
  </si>
  <si>
    <t>Private Use Per-mile Fee (€)</t>
  </si>
  <si>
    <t>NEW</t>
  </si>
  <si>
    <t>Rejected</t>
  </si>
  <si>
    <t>Mini Cooper</t>
  </si>
  <si>
    <t xml:space="preserve">Hans </t>
  </si>
  <si>
    <t>Leijh</t>
  </si>
  <si>
    <t>Hans  Leijh</t>
  </si>
  <si>
    <t>Vehicle_ID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</si>
</sst>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2" borderId="0" xfId="0" applyFill="1"/>
    <xf numFmtId="0" fontId="3" fillId="0" borderId="0" xfId="0" applyFont="1"/>
    <xf numFmtId="0" fontId="4" fillId="0" borderId="0" xfId="0" applyFont="1"/>
    <xf numFmtId="0" fontId="0" fillId="0" borderId="1" xfId="0" applyBorder="1"/>
    <xf numFmtId="0" fontId="1" fillId="0" borderId="1" xfId="0" applyFont="1" applyBorder="1"/>
    <xf numFmtId="0" fontId="0" fillId="0" borderId="3" xfId="0" applyBorder="1"/>
    <xf numFmtId="0" fontId="0" fillId="0" borderId="2" xfId="0" applyBorder="1"/>
    <xf numFmtId="0" fontId="1" fillId="0" borderId="2" xfId="0" applyFont="1" applyBorder="1"/>
    <xf numFmtId="0" fontId="0" fillId="0" borderId="4" xfId="0" applyBorder="1"/>
    <xf numFmtId="0" fontId="1" fillId="0" borderId="5" xfId="0" applyFont="1" applyBorder="1"/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1" fillId="0" borderId="0" xfId="0" applyFont="1" applyAlignment="1">
      <alignment horizontal="left" vertical="center"/>
    </xf>
    <xf numFmtId="164" fontId="0" fillId="2" borderId="0" xfId="0" applyNumberFormat="1" applyFill="1" applyAlignment="1">
      <alignment horizontal="right"/>
    </xf>
    <xf numFmtId="164" fontId="1" fillId="0" borderId="0" xfId="0" applyNumberFormat="1" applyFont="1" applyAlignment="1">
      <alignment horizontal="right" vertical="center"/>
    </xf>
    <xf numFmtId="164" fontId="0" fillId="0" borderId="0" xfId="0" applyNumberFormat="1" applyAlignment="1">
      <alignment horizontal="right"/>
    </xf>
    <xf numFmtId="164" fontId="0" fillId="0" borderId="0" xfId="0" applyNumberFormat="1"/>
    <xf numFmtId="14" fontId="0" fillId="0" borderId="0" xfId="0" applyNumberFormat="1"/>
    <xf numFmtId="14" fontId="0" fillId="0" borderId="0" xfId="0" applyNumberFormat="1" applyAlignment="1">
      <alignment horizontal="left"/>
    </xf>
    <xf numFmtId="0" fontId="3" fillId="0" borderId="6" xfId="0" applyFont="1" applyBorder="1"/>
    <xf numFmtId="0" fontId="3" fillId="0" borderId="7" xfId="0" applyFont="1" applyBorder="1"/>
    <xf numFmtId="0" fontId="0" fillId="2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14" fontId="3" fillId="0" borderId="7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CC"/>
      <color rgb="FFFF9999"/>
      <color rgb="FF9999FF"/>
      <color rgb="FF6699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1</xdr:row>
          <xdr:rowOff>114300</xdr:rowOff>
        </xdr:from>
        <xdr:to>
          <xdr:col>2</xdr:col>
          <xdr:colOff>15240</xdr:colOff>
          <xdr:row>3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VEHICLE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1</xdr:row>
          <xdr:rowOff>114300</xdr:rowOff>
        </xdr:from>
        <xdr:to>
          <xdr:col>4</xdr:col>
          <xdr:colOff>548640</xdr:colOff>
          <xdr:row>3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EDIT/CHECK MY REQUEST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1</xdr:row>
          <xdr:rowOff>121920</xdr:rowOff>
        </xdr:from>
        <xdr:to>
          <xdr:col>14</xdr:col>
          <xdr:colOff>30480</xdr:colOff>
          <xdr:row>3</xdr:row>
          <xdr:rowOff>91440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VEHICLE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91440</xdr:colOff>
          <xdr:row>1</xdr:row>
          <xdr:rowOff>114300</xdr:rowOff>
        </xdr:from>
        <xdr:to>
          <xdr:col>16</xdr:col>
          <xdr:colOff>518160</xdr:colOff>
          <xdr:row>3</xdr:row>
          <xdr:rowOff>91440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EDIT/DELETE VEHICLE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1</xdr:row>
          <xdr:rowOff>106680</xdr:rowOff>
        </xdr:from>
        <xdr:to>
          <xdr:col>2</xdr:col>
          <xdr:colOff>91440</xdr:colOff>
          <xdr:row>3</xdr:row>
          <xdr:rowOff>60960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99060</xdr:rowOff>
        </xdr:from>
        <xdr:to>
          <xdr:col>3</xdr:col>
          <xdr:colOff>922020</xdr:colOff>
          <xdr:row>3</xdr:row>
          <xdr:rowOff>53340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EDIT/DELETE EMPLOYEE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</xdr:row>
          <xdr:rowOff>22860</xdr:rowOff>
        </xdr:from>
        <xdr:to>
          <xdr:col>3</xdr:col>
          <xdr:colOff>30480</xdr:colOff>
          <xdr:row>3</xdr:row>
          <xdr:rowOff>53340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REQUEST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AF14-3FD5-4606-A041-76C8CFF038DB}">
  <sheetPr codeName="Sheet1"/>
  <dimension ref="A1:G21"/>
  <sheetViews>
    <sheetView workbookViewId="0">
      <selection activeCell="G9" sqref="G9"/>
    </sheetView>
  </sheetViews>
  <sheetFormatPr defaultRowHeight="14.4" x14ac:dyDescent="0.3"/>
  <cols>
    <col min="1" max="1" width="9.88671875" style="13" bestFit="1" customWidth="1"/>
    <col min="2" max="2" width="18.88671875" style="13" bestFit="1" customWidth="1"/>
    <col min="3" max="3" width="10.33203125" style="13" bestFit="1" customWidth="1"/>
    <col min="4" max="4" width="11.21875" style="13" bestFit="1" customWidth="1"/>
    <col min="5" max="5" width="13.5546875" style="18" bestFit="1" customWidth="1"/>
    <col min="6" max="6" width="18.88671875" style="18" bestFit="1" customWidth="1"/>
    <col min="7" max="7" width="8.88671875" style="13"/>
  </cols>
  <sheetData>
    <row r="1" spans="1:7" s="3" customFormat="1" x14ac:dyDescent="0.3">
      <c r="A1" s="14"/>
      <c r="B1" s="14"/>
      <c r="C1" s="14"/>
      <c r="D1" s="14"/>
      <c r="E1" s="16"/>
      <c r="F1" s="16"/>
      <c r="G1" s="14"/>
    </row>
    <row r="2" spans="1:7" s="3" customFormat="1" x14ac:dyDescent="0.3">
      <c r="A2" s="14"/>
      <c r="B2" s="14"/>
      <c r="C2" s="14"/>
      <c r="D2" s="14"/>
      <c r="E2" s="16"/>
      <c r="F2" s="16"/>
      <c r="G2" s="14"/>
    </row>
    <row r="3" spans="1:7" s="3" customFormat="1" x14ac:dyDescent="0.3">
      <c r="A3" s="14"/>
      <c r="B3" s="14"/>
      <c r="C3" s="14"/>
      <c r="D3" s="14" t="s">
        <v>39</v>
      </c>
      <c r="E3" s="16"/>
      <c r="F3" s="16"/>
      <c r="G3" s="14"/>
    </row>
    <row r="4" spans="1:7" s="3" customFormat="1" ht="19.2" customHeight="1" x14ac:dyDescent="0.3">
      <c r="A4" s="14"/>
      <c r="B4" s="14"/>
      <c r="C4" s="14"/>
      <c r="D4" s="14"/>
      <c r="E4" s="16"/>
      <c r="F4" s="16"/>
      <c r="G4" s="14"/>
    </row>
    <row r="5" spans="1:7" s="2" customFormat="1" ht="21" customHeight="1" x14ac:dyDescent="0.3">
      <c r="A5" s="15" t="s">
        <v>287</v>
      </c>
      <c r="B5" s="15" t="s">
        <v>0</v>
      </c>
      <c r="C5" s="15" t="s">
        <v>1</v>
      </c>
      <c r="D5" s="15" t="s">
        <v>2</v>
      </c>
      <c r="E5" s="17" t="s">
        <v>3</v>
      </c>
      <c r="F5" s="17" t="s">
        <v>4</v>
      </c>
      <c r="G5" s="15" t="s">
        <v>266</v>
      </c>
    </row>
    <row r="6" spans="1:7" x14ac:dyDescent="0.3">
      <c r="A6" s="13">
        <v>1</v>
      </c>
      <c r="B6" t="s">
        <v>268</v>
      </c>
      <c r="C6" t="s">
        <v>10</v>
      </c>
      <c r="D6" t="s">
        <v>11</v>
      </c>
      <c r="E6" s="19">
        <v>45139</v>
      </c>
      <c r="F6" s="20">
        <v>45291</v>
      </c>
      <c r="G6" t="s">
        <v>23</v>
      </c>
    </row>
    <row r="7" spans="1:7" x14ac:dyDescent="0.3">
      <c r="A7" s="13">
        <v>2</v>
      </c>
      <c r="B7" t="s">
        <v>269</v>
      </c>
      <c r="C7" t="s">
        <v>12</v>
      </c>
      <c r="D7" t="s">
        <v>11</v>
      </c>
      <c r="E7" s="19">
        <v>45078</v>
      </c>
      <c r="F7" s="20">
        <v>45443</v>
      </c>
      <c r="G7" t="s">
        <v>24</v>
      </c>
    </row>
    <row r="8" spans="1:7" x14ac:dyDescent="0.3">
      <c r="A8" s="13">
        <v>3</v>
      </c>
      <c r="B8" t="s">
        <v>270</v>
      </c>
      <c r="C8" t="s">
        <v>13</v>
      </c>
      <c r="D8" t="s">
        <v>11</v>
      </c>
      <c r="E8" s="19">
        <v>45139</v>
      </c>
      <c r="F8" s="20">
        <v>45412</v>
      </c>
      <c r="G8" t="s">
        <v>24</v>
      </c>
    </row>
    <row r="9" spans="1:7" x14ac:dyDescent="0.3">
      <c r="A9" s="13">
        <v>4</v>
      </c>
      <c r="B9" t="s">
        <v>271</v>
      </c>
      <c r="C9" t="s">
        <v>14</v>
      </c>
      <c r="D9" t="s">
        <v>11</v>
      </c>
      <c r="E9" s="19">
        <v>45535</v>
      </c>
      <c r="F9" s="20">
        <v>45535</v>
      </c>
      <c r="G9" t="s">
        <v>23</v>
      </c>
    </row>
    <row r="10" spans="1:7" x14ac:dyDescent="0.3">
      <c r="A10" s="13">
        <v>5</v>
      </c>
      <c r="B10" t="s">
        <v>272</v>
      </c>
      <c r="C10" t="s">
        <v>10</v>
      </c>
      <c r="D10" t="s">
        <v>273</v>
      </c>
      <c r="E10" s="19">
        <v>45108</v>
      </c>
      <c r="F10" s="20">
        <v>45504</v>
      </c>
      <c r="G10" t="s">
        <v>24</v>
      </c>
    </row>
    <row r="11" spans="1:7" x14ac:dyDescent="0.3">
      <c r="A11" s="13">
        <v>6</v>
      </c>
      <c r="B11" t="s">
        <v>283</v>
      </c>
      <c r="C11" t="s">
        <v>12</v>
      </c>
      <c r="D11" t="s">
        <v>273</v>
      </c>
      <c r="E11" s="19">
        <v>45139</v>
      </c>
      <c r="F11" s="20">
        <v>45322</v>
      </c>
      <c r="G11" t="s">
        <v>23</v>
      </c>
    </row>
    <row r="12" spans="1:7" x14ac:dyDescent="0.3">
      <c r="A12" s="13">
        <v>7</v>
      </c>
      <c r="B12" t="s">
        <v>274</v>
      </c>
      <c r="C12" t="s">
        <v>13</v>
      </c>
      <c r="D12" t="s">
        <v>273</v>
      </c>
      <c r="E12" s="19">
        <v>45139</v>
      </c>
      <c r="F12" s="20">
        <v>45382</v>
      </c>
      <c r="G12" t="s">
        <v>23</v>
      </c>
    </row>
    <row r="13" spans="1:7" x14ac:dyDescent="0.3">
      <c r="A13" s="13">
        <v>8</v>
      </c>
      <c r="B13" t="s">
        <v>15</v>
      </c>
      <c r="C13" t="s">
        <v>14</v>
      </c>
      <c r="D13" t="s">
        <v>273</v>
      </c>
      <c r="E13" s="19">
        <v>45108</v>
      </c>
      <c r="F13" s="20">
        <v>45412</v>
      </c>
      <c r="G13" t="s">
        <v>23</v>
      </c>
    </row>
    <row r="14" spans="1:7" x14ac:dyDescent="0.3">
      <c r="A14" s="13">
        <v>9</v>
      </c>
      <c r="B14" t="s">
        <v>275</v>
      </c>
      <c r="C14" t="s">
        <v>10</v>
      </c>
      <c r="D14" t="s">
        <v>20</v>
      </c>
      <c r="E14" s="19">
        <v>45078</v>
      </c>
      <c r="F14" s="20">
        <v>45412</v>
      </c>
      <c r="G14" t="s">
        <v>23</v>
      </c>
    </row>
    <row r="15" spans="1:7" x14ac:dyDescent="0.3">
      <c r="A15" s="13">
        <v>10</v>
      </c>
      <c r="B15" t="s">
        <v>17</v>
      </c>
      <c r="C15" t="s">
        <v>12</v>
      </c>
      <c r="D15" t="s">
        <v>20</v>
      </c>
      <c r="E15" s="19">
        <v>45139</v>
      </c>
      <c r="F15" s="20">
        <v>45504</v>
      </c>
      <c r="G15" t="s">
        <v>23</v>
      </c>
    </row>
    <row r="16" spans="1:7" x14ac:dyDescent="0.3">
      <c r="A16" s="13">
        <v>11</v>
      </c>
      <c r="B16" t="s">
        <v>18</v>
      </c>
      <c r="C16" t="s">
        <v>13</v>
      </c>
      <c r="D16" t="s">
        <v>20</v>
      </c>
      <c r="E16" s="19">
        <v>45078</v>
      </c>
      <c r="F16" s="20">
        <v>45443</v>
      </c>
      <c r="G16" t="s">
        <v>23</v>
      </c>
    </row>
    <row r="17" spans="1:7" x14ac:dyDescent="0.3">
      <c r="A17" s="13">
        <v>12</v>
      </c>
      <c r="B17" t="s">
        <v>19</v>
      </c>
      <c r="C17" t="s">
        <v>14</v>
      </c>
      <c r="D17" t="s">
        <v>20</v>
      </c>
      <c r="E17" s="19">
        <v>45200</v>
      </c>
      <c r="F17" s="20">
        <v>45473</v>
      </c>
      <c r="G17" t="s">
        <v>23</v>
      </c>
    </row>
    <row r="18" spans="1:7" x14ac:dyDescent="0.3">
      <c r="A18" s="13">
        <v>13</v>
      </c>
      <c r="B18" t="s">
        <v>276</v>
      </c>
      <c r="C18" t="s">
        <v>10</v>
      </c>
      <c r="D18" t="s">
        <v>21</v>
      </c>
      <c r="E18" s="19">
        <v>45139</v>
      </c>
      <c r="F18" s="20">
        <v>45382</v>
      </c>
      <c r="G18" t="s">
        <v>23</v>
      </c>
    </row>
    <row r="19" spans="1:7" x14ac:dyDescent="0.3">
      <c r="A19" s="13">
        <v>14</v>
      </c>
      <c r="B19" t="s">
        <v>277</v>
      </c>
      <c r="C19" t="s">
        <v>12</v>
      </c>
      <c r="D19" t="s">
        <v>21</v>
      </c>
      <c r="E19" s="19">
        <v>45170</v>
      </c>
      <c r="F19" s="20">
        <v>45351</v>
      </c>
      <c r="G19" t="s">
        <v>24</v>
      </c>
    </row>
    <row r="20" spans="1:7" x14ac:dyDescent="0.3">
      <c r="A20" s="13">
        <v>15</v>
      </c>
      <c r="B20" t="s">
        <v>278</v>
      </c>
      <c r="C20" t="s">
        <v>13</v>
      </c>
      <c r="D20" t="s">
        <v>21</v>
      </c>
      <c r="E20" s="19">
        <v>45078</v>
      </c>
      <c r="F20" s="20">
        <v>45412</v>
      </c>
      <c r="G20" t="s">
        <v>23</v>
      </c>
    </row>
    <row r="21" spans="1:7" x14ac:dyDescent="0.3">
      <c r="A21" s="13">
        <v>16</v>
      </c>
      <c r="B21" t="s">
        <v>279</v>
      </c>
      <c r="C21" t="s">
        <v>14</v>
      </c>
      <c r="D21" t="s">
        <v>21</v>
      </c>
      <c r="E21" s="19">
        <v>45139</v>
      </c>
      <c r="F21" s="20">
        <v>41851</v>
      </c>
      <c r="G21" t="s">
        <v>23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1_Click">
                <anchor moveWithCells="1" sizeWithCells="1">
                  <from>
                    <xdr:col>0</xdr:col>
                    <xdr:colOff>213360</xdr:colOff>
                    <xdr:row>1</xdr:row>
                    <xdr:rowOff>114300</xdr:rowOff>
                  </from>
                  <to>
                    <xdr:col>2</xdr:col>
                    <xdr:colOff>15240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owFindMyRequest">
                <anchor moveWithCells="1" sizeWithCells="1">
                  <from>
                    <xdr:col>2</xdr:col>
                    <xdr:colOff>99060</xdr:colOff>
                    <xdr:row>1</xdr:row>
                    <xdr:rowOff>114300</xdr:rowOff>
                  </from>
                  <to>
                    <xdr:col>4</xdr:col>
                    <xdr:colOff>548640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ShowVehicleUF">
                <anchor moveWithCells="1" sizeWithCells="1">
                  <from>
                    <xdr:col>11</xdr:col>
                    <xdr:colOff>99060</xdr:colOff>
                    <xdr:row>1</xdr:row>
                    <xdr:rowOff>121920</xdr:rowOff>
                  </from>
                  <to>
                    <xdr:col>14</xdr:col>
                    <xdr:colOff>30480</xdr:colOff>
                    <xdr:row>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ShowEditVehicleUF">
                <anchor moveWithCells="1" sizeWithCells="1">
                  <from>
                    <xdr:col>14</xdr:col>
                    <xdr:colOff>91440</xdr:colOff>
                    <xdr:row>1</xdr:row>
                    <xdr:rowOff>114300</xdr:rowOff>
                  </from>
                  <to>
                    <xdr:col>16</xdr:col>
                    <xdr:colOff>518160</xdr:colOff>
                    <xdr:row>3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71BC2-3270-4C52-AC4A-68380E833425}">
  <sheetPr codeName="Sheet7"/>
  <dimension ref="A1:J111"/>
  <sheetViews>
    <sheetView workbookViewId="0">
      <selection activeCell="C28" sqref="C28"/>
    </sheetView>
  </sheetViews>
  <sheetFormatPr defaultRowHeight="14.4" x14ac:dyDescent="0.3"/>
  <cols>
    <col min="1" max="1" width="11.77734375" bestFit="1" customWidth="1"/>
    <col min="2" max="2" width="18.88671875" bestFit="1" customWidth="1"/>
    <col min="3" max="3" width="17.5546875" bestFit="1" customWidth="1"/>
    <col min="4" max="4" width="20" bestFit="1" customWidth="1"/>
    <col min="5" max="5" width="10.33203125" bestFit="1" customWidth="1"/>
    <col min="6" max="6" width="13.5546875" bestFit="1" customWidth="1"/>
    <col min="7" max="7" width="12.33203125" customWidth="1"/>
    <col min="8" max="8" width="23" bestFit="1" customWidth="1"/>
    <col min="10" max="10" width="10.33203125" bestFit="1" customWidth="1"/>
  </cols>
  <sheetData>
    <row r="1" spans="1:10" s="3" customFormat="1" x14ac:dyDescent="0.3"/>
    <row r="2" spans="1:10" s="3" customFormat="1" x14ac:dyDescent="0.3"/>
    <row r="3" spans="1:10" s="3" customFormat="1" x14ac:dyDescent="0.3"/>
    <row r="4" spans="1:10" s="3" customFormat="1" x14ac:dyDescent="0.3"/>
    <row r="5" spans="1:10" x14ac:dyDescent="0.3">
      <c r="A5" s="4" t="s">
        <v>263</v>
      </c>
      <c r="B5" s="4" t="s">
        <v>44</v>
      </c>
      <c r="C5" s="4" t="s">
        <v>45</v>
      </c>
      <c r="D5" s="4" t="s">
        <v>43</v>
      </c>
      <c r="E5" s="4" t="s">
        <v>1</v>
      </c>
      <c r="F5" s="4" t="s">
        <v>5</v>
      </c>
      <c r="G5" s="4" t="s">
        <v>6</v>
      </c>
      <c r="H5" s="4" t="s">
        <v>280</v>
      </c>
      <c r="J5" s="4"/>
    </row>
    <row r="6" spans="1:10" x14ac:dyDescent="0.3">
      <c r="A6">
        <v>1</v>
      </c>
      <c r="B6" t="s">
        <v>64</v>
      </c>
      <c r="C6" t="s">
        <v>65</v>
      </c>
      <c r="D6" t="str">
        <f t="shared" ref="D6:D56" si="0">CONCATENATE(B6, " ", C6)</f>
        <v>Joann Leatherbarrow</v>
      </c>
      <c r="E6" t="s">
        <v>13</v>
      </c>
      <c r="F6" t="s">
        <v>27</v>
      </c>
      <c r="G6" t="s">
        <v>36</v>
      </c>
      <c r="H6">
        <v>8.0000000000000002E-3</v>
      </c>
      <c r="J6" s="5"/>
    </row>
    <row r="7" spans="1:10" x14ac:dyDescent="0.3">
      <c r="A7">
        <v>2</v>
      </c>
      <c r="B7" t="s">
        <v>66</v>
      </c>
      <c r="C7" t="s">
        <v>67</v>
      </c>
      <c r="D7" t="str">
        <f t="shared" si="0"/>
        <v>Letty Sneddon</v>
      </c>
      <c r="E7" t="s">
        <v>10</v>
      </c>
      <c r="F7" t="s">
        <v>27</v>
      </c>
      <c r="G7" t="s">
        <v>33</v>
      </c>
      <c r="H7">
        <v>8.0000000000000002E-3</v>
      </c>
      <c r="J7" s="5"/>
    </row>
    <row r="8" spans="1:10" x14ac:dyDescent="0.3">
      <c r="A8">
        <v>3</v>
      </c>
      <c r="B8" t="s">
        <v>68</v>
      </c>
      <c r="C8" t="s">
        <v>69</v>
      </c>
      <c r="D8" t="str">
        <f t="shared" si="0"/>
        <v>Tracee Orts</v>
      </c>
      <c r="E8" t="s">
        <v>12</v>
      </c>
      <c r="F8" t="s">
        <v>30</v>
      </c>
      <c r="G8" t="s">
        <v>41</v>
      </c>
      <c r="H8">
        <v>2E-3</v>
      </c>
      <c r="J8" s="5"/>
    </row>
    <row r="9" spans="1:10" x14ac:dyDescent="0.3">
      <c r="A9">
        <v>4</v>
      </c>
      <c r="B9" t="s">
        <v>70</v>
      </c>
      <c r="C9" t="s">
        <v>71</v>
      </c>
      <c r="D9" t="str">
        <f t="shared" si="0"/>
        <v>Ruthie Cleve</v>
      </c>
      <c r="E9" t="s">
        <v>13</v>
      </c>
      <c r="F9" t="s">
        <v>46</v>
      </c>
      <c r="G9" t="s">
        <v>36</v>
      </c>
      <c r="H9">
        <v>1E-3</v>
      </c>
      <c r="J9" s="5"/>
    </row>
    <row r="10" spans="1:10" x14ac:dyDescent="0.3">
      <c r="A10">
        <v>5</v>
      </c>
      <c r="B10" t="s">
        <v>72</v>
      </c>
      <c r="C10" t="s">
        <v>73</v>
      </c>
      <c r="D10" t="str">
        <f t="shared" si="0"/>
        <v>Nahum Regenhardt</v>
      </c>
      <c r="E10" t="s">
        <v>13</v>
      </c>
      <c r="F10" t="s">
        <v>29</v>
      </c>
      <c r="G10" t="s">
        <v>33</v>
      </c>
      <c r="H10">
        <v>8.9999999999999993E-3</v>
      </c>
      <c r="J10" s="5"/>
    </row>
    <row r="11" spans="1:10" x14ac:dyDescent="0.3">
      <c r="A11">
        <v>6</v>
      </c>
      <c r="B11" t="s">
        <v>74</v>
      </c>
      <c r="C11" t="s">
        <v>75</v>
      </c>
      <c r="D11" t="str">
        <f t="shared" si="0"/>
        <v>Murvyn Harbisher</v>
      </c>
      <c r="E11" t="s">
        <v>12</v>
      </c>
      <c r="F11" t="s">
        <v>27</v>
      </c>
      <c r="G11" t="s">
        <v>34</v>
      </c>
      <c r="H11">
        <v>8.0000000000000002E-3</v>
      </c>
    </row>
    <row r="12" spans="1:10" x14ac:dyDescent="0.3">
      <c r="A12">
        <v>7</v>
      </c>
      <c r="B12" t="s">
        <v>76</v>
      </c>
      <c r="C12" t="s">
        <v>77</v>
      </c>
      <c r="D12" t="s">
        <v>267</v>
      </c>
      <c r="E12" t="s">
        <v>14</v>
      </c>
      <c r="F12" t="s">
        <v>29</v>
      </c>
      <c r="G12" t="s">
        <v>34</v>
      </c>
      <c r="H12">
        <v>5.0000000000000001E-3</v>
      </c>
    </row>
    <row r="13" spans="1:10" x14ac:dyDescent="0.3">
      <c r="A13">
        <v>8</v>
      </c>
      <c r="B13" t="s">
        <v>78</v>
      </c>
      <c r="C13" t="s">
        <v>79</v>
      </c>
      <c r="D13" t="str">
        <f t="shared" si="0"/>
        <v>Wenonah Louedey</v>
      </c>
      <c r="E13" t="s">
        <v>12</v>
      </c>
      <c r="F13" t="s">
        <v>46</v>
      </c>
      <c r="G13" t="s">
        <v>36</v>
      </c>
      <c r="H13">
        <v>3.0000000000000001E-3</v>
      </c>
    </row>
    <row r="14" spans="1:10" x14ac:dyDescent="0.3">
      <c r="A14">
        <v>9</v>
      </c>
      <c r="B14" t="s">
        <v>80</v>
      </c>
      <c r="C14" t="s">
        <v>81</v>
      </c>
      <c r="D14" t="str">
        <f t="shared" si="0"/>
        <v>Marlo Figura</v>
      </c>
      <c r="E14" t="s">
        <v>10</v>
      </c>
      <c r="F14" t="s">
        <v>46</v>
      </c>
      <c r="G14" t="s">
        <v>36</v>
      </c>
      <c r="H14">
        <v>7.0000000000000001E-3</v>
      </c>
    </row>
    <row r="15" spans="1:10" x14ac:dyDescent="0.3">
      <c r="A15">
        <v>10</v>
      </c>
      <c r="B15" t="s">
        <v>82</v>
      </c>
      <c r="C15" t="s">
        <v>83</v>
      </c>
      <c r="D15" t="str">
        <f t="shared" si="0"/>
        <v>Stephanus Laroux</v>
      </c>
      <c r="E15" t="s">
        <v>13</v>
      </c>
      <c r="F15" t="s">
        <v>29</v>
      </c>
      <c r="G15" t="s">
        <v>34</v>
      </c>
      <c r="H15">
        <v>6.0000000000000001E-3</v>
      </c>
    </row>
    <row r="16" spans="1:10" x14ac:dyDescent="0.3">
      <c r="A16">
        <v>11</v>
      </c>
      <c r="B16" t="s">
        <v>84</v>
      </c>
      <c r="C16" t="s">
        <v>85</v>
      </c>
      <c r="D16" t="str">
        <f t="shared" si="0"/>
        <v>Jacinthe Godard</v>
      </c>
      <c r="E16" t="s">
        <v>10</v>
      </c>
      <c r="F16" t="s">
        <v>30</v>
      </c>
      <c r="G16" t="s">
        <v>35</v>
      </c>
      <c r="H16">
        <v>1E-3</v>
      </c>
    </row>
    <row r="17" spans="1:8" x14ac:dyDescent="0.3">
      <c r="A17">
        <v>12</v>
      </c>
      <c r="B17" t="s">
        <v>86</v>
      </c>
      <c r="C17" t="s">
        <v>87</v>
      </c>
      <c r="D17" t="str">
        <f t="shared" si="0"/>
        <v>Floria Hehnke</v>
      </c>
      <c r="E17" t="s">
        <v>10</v>
      </c>
      <c r="F17" t="s">
        <v>28</v>
      </c>
      <c r="G17" t="s">
        <v>34</v>
      </c>
      <c r="H17">
        <v>6.0000000000000001E-3</v>
      </c>
    </row>
    <row r="18" spans="1:8" x14ac:dyDescent="0.3">
      <c r="A18">
        <v>13</v>
      </c>
      <c r="B18" t="s">
        <v>88</v>
      </c>
      <c r="C18" t="s">
        <v>89</v>
      </c>
      <c r="D18" t="str">
        <f t="shared" si="0"/>
        <v>Forester Orehead</v>
      </c>
      <c r="E18" t="s">
        <v>12</v>
      </c>
      <c r="F18" t="s">
        <v>30</v>
      </c>
      <c r="G18" t="s">
        <v>36</v>
      </c>
      <c r="H18">
        <v>4.0000000000000001E-3</v>
      </c>
    </row>
    <row r="19" spans="1:8" x14ac:dyDescent="0.3">
      <c r="A19">
        <v>14</v>
      </c>
      <c r="B19" t="s">
        <v>90</v>
      </c>
      <c r="C19" t="s">
        <v>91</v>
      </c>
      <c r="D19" t="str">
        <f t="shared" si="0"/>
        <v>Lucretia Fanning</v>
      </c>
      <c r="E19" t="s">
        <v>10</v>
      </c>
      <c r="F19" t="s">
        <v>30</v>
      </c>
      <c r="G19" t="s">
        <v>36</v>
      </c>
      <c r="H19">
        <v>6.0000000000000001E-3</v>
      </c>
    </row>
    <row r="20" spans="1:8" x14ac:dyDescent="0.3">
      <c r="A20">
        <v>15</v>
      </c>
      <c r="B20" t="s">
        <v>92</v>
      </c>
      <c r="C20" t="s">
        <v>93</v>
      </c>
      <c r="D20" t="str">
        <f t="shared" si="0"/>
        <v>Shayla Myrtle</v>
      </c>
      <c r="E20" t="s">
        <v>14</v>
      </c>
      <c r="F20" t="s">
        <v>27</v>
      </c>
      <c r="G20" t="s">
        <v>36</v>
      </c>
      <c r="H20">
        <v>6.0000000000000001E-3</v>
      </c>
    </row>
    <row r="21" spans="1:8" x14ac:dyDescent="0.3">
      <c r="A21">
        <v>16</v>
      </c>
      <c r="B21" t="s">
        <v>94</v>
      </c>
      <c r="C21" t="s">
        <v>95</v>
      </c>
      <c r="D21" t="str">
        <f t="shared" si="0"/>
        <v>Malanie Donnersberg</v>
      </c>
      <c r="E21" t="s">
        <v>14</v>
      </c>
      <c r="F21" t="s">
        <v>30</v>
      </c>
      <c r="G21" t="s">
        <v>41</v>
      </c>
      <c r="H21">
        <v>8.0000000000000002E-3</v>
      </c>
    </row>
    <row r="22" spans="1:8" x14ac:dyDescent="0.3">
      <c r="A22">
        <v>17</v>
      </c>
      <c r="B22" t="s">
        <v>96</v>
      </c>
      <c r="C22" t="s">
        <v>97</v>
      </c>
      <c r="D22" t="str">
        <f t="shared" si="0"/>
        <v>Rebe Haxby</v>
      </c>
      <c r="E22" t="s">
        <v>10</v>
      </c>
      <c r="F22" t="s">
        <v>28</v>
      </c>
      <c r="G22" t="s">
        <v>34</v>
      </c>
      <c r="H22">
        <v>5.0000000000000001E-3</v>
      </c>
    </row>
    <row r="23" spans="1:8" x14ac:dyDescent="0.3">
      <c r="A23">
        <v>18</v>
      </c>
      <c r="B23" t="s">
        <v>98</v>
      </c>
      <c r="C23" t="s">
        <v>99</v>
      </c>
      <c r="D23" t="str">
        <f t="shared" si="0"/>
        <v>Saw Hembry</v>
      </c>
      <c r="E23" t="s">
        <v>12</v>
      </c>
      <c r="F23" t="s">
        <v>28</v>
      </c>
      <c r="G23" t="s">
        <v>35</v>
      </c>
      <c r="H23">
        <v>4.0000000000000001E-3</v>
      </c>
    </row>
    <row r="24" spans="1:8" x14ac:dyDescent="0.3">
      <c r="A24">
        <v>19</v>
      </c>
      <c r="B24" t="s">
        <v>100</v>
      </c>
      <c r="C24" t="s">
        <v>101</v>
      </c>
      <c r="D24" t="str">
        <f t="shared" si="0"/>
        <v>Alfy Grice</v>
      </c>
      <c r="E24" t="s">
        <v>12</v>
      </c>
      <c r="F24" t="s">
        <v>28</v>
      </c>
      <c r="G24" t="s">
        <v>34</v>
      </c>
      <c r="H24">
        <v>3.0000000000000001E-3</v>
      </c>
    </row>
    <row r="25" spans="1:8" x14ac:dyDescent="0.3">
      <c r="A25">
        <v>20</v>
      </c>
      <c r="B25" t="s">
        <v>102</v>
      </c>
      <c r="C25" t="s">
        <v>103</v>
      </c>
      <c r="D25" t="str">
        <f t="shared" si="0"/>
        <v>Chet Ivancevic</v>
      </c>
      <c r="E25" t="s">
        <v>13</v>
      </c>
      <c r="F25" t="s">
        <v>28</v>
      </c>
      <c r="G25" t="s">
        <v>34</v>
      </c>
      <c r="H25">
        <v>8.0000000000000002E-3</v>
      </c>
    </row>
    <row r="26" spans="1:8" x14ac:dyDescent="0.3">
      <c r="A26">
        <v>21</v>
      </c>
      <c r="B26" t="s">
        <v>104</v>
      </c>
      <c r="C26" t="s">
        <v>105</v>
      </c>
      <c r="D26" t="str">
        <f t="shared" si="0"/>
        <v>Jacenta Balloch</v>
      </c>
      <c r="E26" t="s">
        <v>10</v>
      </c>
      <c r="F26" t="s">
        <v>46</v>
      </c>
      <c r="G26" t="s">
        <v>34</v>
      </c>
      <c r="H26">
        <v>7.0000000000000001E-3</v>
      </c>
    </row>
    <row r="27" spans="1:8" x14ac:dyDescent="0.3">
      <c r="A27">
        <v>22</v>
      </c>
      <c r="B27" t="s">
        <v>106</v>
      </c>
      <c r="C27" t="s">
        <v>107</v>
      </c>
      <c r="D27" t="str">
        <f t="shared" si="0"/>
        <v>Boycie MacMenemy</v>
      </c>
      <c r="E27" t="s">
        <v>12</v>
      </c>
      <c r="F27" t="s">
        <v>27</v>
      </c>
      <c r="G27" t="s">
        <v>35</v>
      </c>
      <c r="H27">
        <v>1E-3</v>
      </c>
    </row>
    <row r="28" spans="1:8" x14ac:dyDescent="0.3">
      <c r="A28">
        <v>23</v>
      </c>
      <c r="B28" t="s">
        <v>108</v>
      </c>
      <c r="C28" t="s">
        <v>109</v>
      </c>
      <c r="D28" t="str">
        <f t="shared" si="0"/>
        <v>Silvio Abbison</v>
      </c>
      <c r="E28" t="s">
        <v>14</v>
      </c>
      <c r="F28" t="s">
        <v>28</v>
      </c>
      <c r="G28" t="s">
        <v>36</v>
      </c>
      <c r="H28">
        <v>2E-3</v>
      </c>
    </row>
    <row r="29" spans="1:8" x14ac:dyDescent="0.3">
      <c r="A29">
        <v>24</v>
      </c>
      <c r="B29" t="s">
        <v>110</v>
      </c>
      <c r="C29" t="s">
        <v>111</v>
      </c>
      <c r="D29" t="str">
        <f t="shared" si="0"/>
        <v>Jenica Chilles</v>
      </c>
      <c r="E29" t="s">
        <v>13</v>
      </c>
      <c r="F29" t="s">
        <v>46</v>
      </c>
      <c r="G29" t="s">
        <v>35</v>
      </c>
      <c r="H29">
        <v>8.9999999999999993E-3</v>
      </c>
    </row>
    <row r="30" spans="1:8" x14ac:dyDescent="0.3">
      <c r="A30">
        <v>25</v>
      </c>
      <c r="B30" t="s">
        <v>112</v>
      </c>
      <c r="C30" t="s">
        <v>113</v>
      </c>
      <c r="D30" t="str">
        <f t="shared" si="0"/>
        <v>Brendan Bushell</v>
      </c>
      <c r="E30" t="s">
        <v>14</v>
      </c>
      <c r="F30" t="s">
        <v>27</v>
      </c>
      <c r="G30" t="s">
        <v>41</v>
      </c>
      <c r="H30">
        <v>3.0000000000000001E-3</v>
      </c>
    </row>
    <row r="31" spans="1:8" x14ac:dyDescent="0.3">
      <c r="A31">
        <v>26</v>
      </c>
      <c r="B31" t="s">
        <v>114</v>
      </c>
      <c r="C31" t="s">
        <v>115</v>
      </c>
      <c r="D31" t="str">
        <f t="shared" si="0"/>
        <v>Bondon Sivyer</v>
      </c>
      <c r="E31" t="s">
        <v>12</v>
      </c>
      <c r="F31" t="s">
        <v>28</v>
      </c>
      <c r="G31" t="s">
        <v>36</v>
      </c>
      <c r="H31">
        <v>2E-3</v>
      </c>
    </row>
    <row r="32" spans="1:8" x14ac:dyDescent="0.3">
      <c r="A32">
        <v>27</v>
      </c>
      <c r="B32" t="s">
        <v>116</v>
      </c>
      <c r="C32" t="s">
        <v>117</v>
      </c>
      <c r="D32" t="str">
        <f t="shared" si="0"/>
        <v>Phineas Vollam</v>
      </c>
      <c r="E32" t="s">
        <v>12</v>
      </c>
      <c r="F32" t="s">
        <v>29</v>
      </c>
      <c r="G32" t="s">
        <v>35</v>
      </c>
      <c r="H32">
        <v>8.0000000000000002E-3</v>
      </c>
    </row>
    <row r="33" spans="1:8" x14ac:dyDescent="0.3">
      <c r="A33">
        <v>28</v>
      </c>
      <c r="B33" t="s">
        <v>118</v>
      </c>
      <c r="C33" t="s">
        <v>119</v>
      </c>
      <c r="D33" t="str">
        <f t="shared" si="0"/>
        <v>Holly Norwich</v>
      </c>
      <c r="E33" t="s">
        <v>14</v>
      </c>
      <c r="F33" t="s">
        <v>46</v>
      </c>
      <c r="G33" t="s">
        <v>34</v>
      </c>
      <c r="H33">
        <v>4.0000000000000001E-3</v>
      </c>
    </row>
    <row r="34" spans="1:8" x14ac:dyDescent="0.3">
      <c r="A34">
        <v>29</v>
      </c>
      <c r="B34" t="s">
        <v>120</v>
      </c>
      <c r="C34" t="s">
        <v>121</v>
      </c>
      <c r="D34" t="str">
        <f t="shared" si="0"/>
        <v>Josefina Winslet</v>
      </c>
      <c r="E34" t="s">
        <v>12</v>
      </c>
      <c r="F34" t="s">
        <v>29</v>
      </c>
      <c r="G34" t="s">
        <v>41</v>
      </c>
      <c r="H34">
        <v>6.0000000000000001E-3</v>
      </c>
    </row>
    <row r="35" spans="1:8" x14ac:dyDescent="0.3">
      <c r="A35">
        <v>30</v>
      </c>
      <c r="B35" t="s">
        <v>62</v>
      </c>
      <c r="C35" t="s">
        <v>122</v>
      </c>
      <c r="D35" t="str">
        <f t="shared" si="0"/>
        <v>Turner Iozefovich</v>
      </c>
      <c r="E35" t="s">
        <v>14</v>
      </c>
      <c r="F35" t="s">
        <v>28</v>
      </c>
      <c r="G35" t="s">
        <v>35</v>
      </c>
      <c r="H35">
        <v>7.0000000000000001E-3</v>
      </c>
    </row>
    <row r="36" spans="1:8" x14ac:dyDescent="0.3">
      <c r="A36">
        <v>31</v>
      </c>
      <c r="B36" t="s">
        <v>123</v>
      </c>
      <c r="C36" t="s">
        <v>124</v>
      </c>
      <c r="D36" t="str">
        <f t="shared" si="0"/>
        <v>Silas Drew</v>
      </c>
      <c r="E36" t="s">
        <v>13</v>
      </c>
      <c r="F36" t="s">
        <v>29</v>
      </c>
      <c r="G36" t="s">
        <v>41</v>
      </c>
      <c r="H36">
        <v>8.0000000000000002E-3</v>
      </c>
    </row>
    <row r="37" spans="1:8" x14ac:dyDescent="0.3">
      <c r="A37">
        <v>32</v>
      </c>
      <c r="B37" t="s">
        <v>125</v>
      </c>
      <c r="C37" t="s">
        <v>126</v>
      </c>
      <c r="D37" t="str">
        <f t="shared" si="0"/>
        <v>Crystal Tidy</v>
      </c>
      <c r="E37" t="s">
        <v>13</v>
      </c>
      <c r="F37" t="s">
        <v>30</v>
      </c>
      <c r="G37" t="s">
        <v>36</v>
      </c>
      <c r="H37">
        <v>6.0000000000000001E-3</v>
      </c>
    </row>
    <row r="38" spans="1:8" x14ac:dyDescent="0.3">
      <c r="A38">
        <v>33</v>
      </c>
      <c r="B38" t="s">
        <v>127</v>
      </c>
      <c r="C38" t="s">
        <v>128</v>
      </c>
      <c r="D38" t="str">
        <f t="shared" si="0"/>
        <v>Josi Dulen</v>
      </c>
      <c r="E38" t="s">
        <v>10</v>
      </c>
      <c r="F38" t="s">
        <v>29</v>
      </c>
      <c r="G38" t="s">
        <v>33</v>
      </c>
      <c r="H38">
        <v>2E-3</v>
      </c>
    </row>
    <row r="39" spans="1:8" x14ac:dyDescent="0.3">
      <c r="A39">
        <v>34</v>
      </c>
      <c r="B39" t="s">
        <v>129</v>
      </c>
      <c r="C39" t="s">
        <v>130</v>
      </c>
      <c r="D39" t="str">
        <f t="shared" si="0"/>
        <v>Ikey Dron</v>
      </c>
      <c r="E39" t="s">
        <v>14</v>
      </c>
      <c r="F39" t="s">
        <v>29</v>
      </c>
      <c r="G39" t="s">
        <v>36</v>
      </c>
      <c r="H39">
        <v>4.0000000000000001E-3</v>
      </c>
    </row>
    <row r="40" spans="1:8" x14ac:dyDescent="0.3">
      <c r="A40">
        <v>35</v>
      </c>
      <c r="B40" t="s">
        <v>131</v>
      </c>
      <c r="C40" t="s">
        <v>132</v>
      </c>
      <c r="D40" t="str">
        <f t="shared" si="0"/>
        <v>Lorrie Dowsett</v>
      </c>
      <c r="E40" t="s">
        <v>12</v>
      </c>
      <c r="F40" t="s">
        <v>27</v>
      </c>
      <c r="G40" t="s">
        <v>33</v>
      </c>
      <c r="H40">
        <v>8.9999999999999993E-3</v>
      </c>
    </row>
    <row r="41" spans="1:8" x14ac:dyDescent="0.3">
      <c r="A41">
        <v>36</v>
      </c>
      <c r="B41" t="s">
        <v>133</v>
      </c>
      <c r="C41" t="s">
        <v>134</v>
      </c>
      <c r="D41" t="str">
        <f t="shared" si="0"/>
        <v>Ronna Brute</v>
      </c>
      <c r="E41" t="s">
        <v>12</v>
      </c>
      <c r="F41" t="s">
        <v>46</v>
      </c>
      <c r="G41" t="s">
        <v>35</v>
      </c>
      <c r="H41">
        <v>8.9999999999999993E-3</v>
      </c>
    </row>
    <row r="42" spans="1:8" x14ac:dyDescent="0.3">
      <c r="A42">
        <v>37</v>
      </c>
      <c r="B42" t="s">
        <v>135</v>
      </c>
      <c r="C42" t="s">
        <v>136</v>
      </c>
      <c r="D42" t="str">
        <f t="shared" si="0"/>
        <v>Terra Martinie</v>
      </c>
      <c r="E42" t="s">
        <v>12</v>
      </c>
      <c r="F42" t="s">
        <v>30</v>
      </c>
      <c r="G42" t="s">
        <v>36</v>
      </c>
      <c r="H42">
        <v>5.0000000000000001E-3</v>
      </c>
    </row>
    <row r="43" spans="1:8" x14ac:dyDescent="0.3">
      <c r="A43">
        <v>38</v>
      </c>
      <c r="B43" t="s">
        <v>137</v>
      </c>
      <c r="C43" t="s">
        <v>138</v>
      </c>
      <c r="D43" t="str">
        <f t="shared" si="0"/>
        <v>Elladine Loynton</v>
      </c>
      <c r="E43" t="s">
        <v>12</v>
      </c>
      <c r="F43" t="s">
        <v>27</v>
      </c>
      <c r="G43" t="s">
        <v>34</v>
      </c>
      <c r="H43">
        <v>7.0000000000000001E-3</v>
      </c>
    </row>
    <row r="44" spans="1:8" x14ac:dyDescent="0.3">
      <c r="A44">
        <v>39</v>
      </c>
      <c r="B44" t="s">
        <v>139</v>
      </c>
      <c r="C44" t="s">
        <v>140</v>
      </c>
      <c r="D44" t="str">
        <f t="shared" si="0"/>
        <v>Ambrose Waberer</v>
      </c>
      <c r="E44" t="s">
        <v>12</v>
      </c>
      <c r="F44" t="s">
        <v>30</v>
      </c>
      <c r="G44" t="s">
        <v>33</v>
      </c>
      <c r="H44">
        <v>5.0000000000000001E-3</v>
      </c>
    </row>
    <row r="45" spans="1:8" x14ac:dyDescent="0.3">
      <c r="A45">
        <v>40</v>
      </c>
      <c r="B45" t="s">
        <v>141</v>
      </c>
      <c r="C45" t="s">
        <v>142</v>
      </c>
      <c r="D45" t="str">
        <f t="shared" si="0"/>
        <v>Loralyn MacRinn</v>
      </c>
      <c r="E45" t="s">
        <v>10</v>
      </c>
      <c r="F45" t="s">
        <v>27</v>
      </c>
      <c r="G45" t="s">
        <v>34</v>
      </c>
      <c r="H45">
        <v>4.0000000000000001E-3</v>
      </c>
    </row>
    <row r="46" spans="1:8" x14ac:dyDescent="0.3">
      <c r="A46">
        <v>41</v>
      </c>
      <c r="B46" t="s">
        <v>143</v>
      </c>
      <c r="C46" t="s">
        <v>144</v>
      </c>
      <c r="D46" t="str">
        <f t="shared" si="0"/>
        <v>Orran Vlies</v>
      </c>
      <c r="E46" t="s">
        <v>12</v>
      </c>
      <c r="F46" t="s">
        <v>29</v>
      </c>
      <c r="G46" t="s">
        <v>41</v>
      </c>
      <c r="H46">
        <v>2E-3</v>
      </c>
    </row>
    <row r="47" spans="1:8" x14ac:dyDescent="0.3">
      <c r="A47">
        <v>42</v>
      </c>
      <c r="B47" t="s">
        <v>145</v>
      </c>
      <c r="C47" t="s">
        <v>146</v>
      </c>
      <c r="D47" t="str">
        <f t="shared" si="0"/>
        <v>Christiane Kohrs</v>
      </c>
      <c r="E47" t="s">
        <v>13</v>
      </c>
      <c r="F47" t="s">
        <v>27</v>
      </c>
      <c r="G47" t="s">
        <v>34</v>
      </c>
      <c r="H47">
        <v>8.0000000000000002E-3</v>
      </c>
    </row>
    <row r="48" spans="1:8" x14ac:dyDescent="0.3">
      <c r="A48">
        <v>43</v>
      </c>
      <c r="B48" t="s">
        <v>147</v>
      </c>
      <c r="C48" t="s">
        <v>148</v>
      </c>
      <c r="D48" t="str">
        <f t="shared" si="0"/>
        <v>Jacquetta Deluze</v>
      </c>
      <c r="E48" t="s">
        <v>14</v>
      </c>
      <c r="F48" t="s">
        <v>30</v>
      </c>
      <c r="G48" t="s">
        <v>34</v>
      </c>
      <c r="H48">
        <v>8.9999999999999993E-3</v>
      </c>
    </row>
    <row r="49" spans="1:8" x14ac:dyDescent="0.3">
      <c r="A49">
        <v>44</v>
      </c>
      <c r="B49" t="s">
        <v>149</v>
      </c>
      <c r="C49" t="s">
        <v>150</v>
      </c>
      <c r="D49" t="str">
        <f t="shared" si="0"/>
        <v>Eugenie Purkess</v>
      </c>
      <c r="E49" t="s">
        <v>12</v>
      </c>
      <c r="F49" t="s">
        <v>29</v>
      </c>
      <c r="G49" t="s">
        <v>34</v>
      </c>
      <c r="H49">
        <v>2E-3</v>
      </c>
    </row>
    <row r="50" spans="1:8" x14ac:dyDescent="0.3">
      <c r="A50">
        <v>45</v>
      </c>
      <c r="B50" t="s">
        <v>151</v>
      </c>
      <c r="C50" t="s">
        <v>152</v>
      </c>
      <c r="D50" t="str">
        <f t="shared" si="0"/>
        <v>Kinna Sorrill</v>
      </c>
      <c r="E50" t="s">
        <v>10</v>
      </c>
      <c r="F50" t="s">
        <v>46</v>
      </c>
      <c r="G50" t="s">
        <v>36</v>
      </c>
      <c r="H50">
        <v>2E-3</v>
      </c>
    </row>
    <row r="51" spans="1:8" x14ac:dyDescent="0.3">
      <c r="A51">
        <v>46</v>
      </c>
      <c r="B51" t="s">
        <v>153</v>
      </c>
      <c r="C51" t="s">
        <v>154</v>
      </c>
      <c r="D51" t="str">
        <f t="shared" si="0"/>
        <v>Claudie Zapata</v>
      </c>
      <c r="E51" t="s">
        <v>10</v>
      </c>
      <c r="F51" t="s">
        <v>46</v>
      </c>
      <c r="G51" t="s">
        <v>34</v>
      </c>
      <c r="H51">
        <v>8.9999999999999993E-3</v>
      </c>
    </row>
    <row r="52" spans="1:8" x14ac:dyDescent="0.3">
      <c r="A52">
        <v>47</v>
      </c>
      <c r="B52" t="s">
        <v>155</v>
      </c>
      <c r="C52" t="s">
        <v>156</v>
      </c>
      <c r="D52" t="str">
        <f t="shared" si="0"/>
        <v>Vera Wilkin</v>
      </c>
      <c r="E52" t="s">
        <v>12</v>
      </c>
      <c r="F52" t="s">
        <v>30</v>
      </c>
      <c r="G52" t="s">
        <v>33</v>
      </c>
      <c r="H52">
        <v>3.0000000000000001E-3</v>
      </c>
    </row>
    <row r="53" spans="1:8" x14ac:dyDescent="0.3">
      <c r="A53">
        <v>48</v>
      </c>
      <c r="B53" t="s">
        <v>157</v>
      </c>
      <c r="C53" t="s">
        <v>158</v>
      </c>
      <c r="D53" t="str">
        <f t="shared" si="0"/>
        <v>Chrystel Elstow</v>
      </c>
      <c r="E53" t="s">
        <v>14</v>
      </c>
      <c r="F53" t="s">
        <v>28</v>
      </c>
      <c r="G53" t="s">
        <v>36</v>
      </c>
      <c r="H53">
        <v>2E-3</v>
      </c>
    </row>
    <row r="54" spans="1:8" x14ac:dyDescent="0.3">
      <c r="A54">
        <v>49</v>
      </c>
      <c r="B54" t="s">
        <v>159</v>
      </c>
      <c r="C54" t="s">
        <v>160</v>
      </c>
      <c r="D54" t="str">
        <f t="shared" si="0"/>
        <v>Dixie Layborn</v>
      </c>
      <c r="E54" t="s">
        <v>10</v>
      </c>
      <c r="F54" t="s">
        <v>46</v>
      </c>
      <c r="G54" t="s">
        <v>34</v>
      </c>
      <c r="H54">
        <v>4.0000000000000001E-3</v>
      </c>
    </row>
    <row r="55" spans="1:8" x14ac:dyDescent="0.3">
      <c r="A55">
        <v>50</v>
      </c>
      <c r="B55" t="s">
        <v>161</v>
      </c>
      <c r="C55" t="s">
        <v>162</v>
      </c>
      <c r="D55" t="str">
        <f t="shared" si="0"/>
        <v>Keane Noblet</v>
      </c>
      <c r="E55" t="s">
        <v>12</v>
      </c>
      <c r="F55" t="s">
        <v>30</v>
      </c>
      <c r="G55" t="s">
        <v>33</v>
      </c>
      <c r="H55">
        <v>4.0000000000000001E-3</v>
      </c>
    </row>
    <row r="56" spans="1:8" x14ac:dyDescent="0.3">
      <c r="A56">
        <v>51</v>
      </c>
      <c r="B56" t="s">
        <v>163</v>
      </c>
      <c r="C56" t="s">
        <v>164</v>
      </c>
      <c r="D56" t="str">
        <f t="shared" si="0"/>
        <v>Elli Viscovi</v>
      </c>
      <c r="E56" t="s">
        <v>14</v>
      </c>
      <c r="F56" t="s">
        <v>46</v>
      </c>
      <c r="G56" t="s">
        <v>33</v>
      </c>
      <c r="H56">
        <v>2E-3</v>
      </c>
    </row>
    <row r="57" spans="1:8" x14ac:dyDescent="0.3">
      <c r="A57">
        <v>52</v>
      </c>
      <c r="B57" t="s">
        <v>165</v>
      </c>
      <c r="C57" t="s">
        <v>166</v>
      </c>
      <c r="D57" t="str">
        <f t="shared" ref="D57:D105" si="1">CONCATENATE(B57, " ", C57)</f>
        <v>Elliot Ogborne</v>
      </c>
      <c r="E57" t="s">
        <v>14</v>
      </c>
      <c r="F57" t="s">
        <v>28</v>
      </c>
      <c r="G57" t="s">
        <v>36</v>
      </c>
      <c r="H57">
        <v>4.0000000000000001E-3</v>
      </c>
    </row>
    <row r="58" spans="1:8" x14ac:dyDescent="0.3">
      <c r="A58">
        <v>53</v>
      </c>
      <c r="B58" t="s">
        <v>167</v>
      </c>
      <c r="C58" t="s">
        <v>168</v>
      </c>
      <c r="D58" t="str">
        <f t="shared" si="1"/>
        <v>Joanna Egger</v>
      </c>
      <c r="E58" t="s">
        <v>10</v>
      </c>
      <c r="F58" t="s">
        <v>29</v>
      </c>
      <c r="G58" t="s">
        <v>34</v>
      </c>
      <c r="H58">
        <v>4.0000000000000001E-3</v>
      </c>
    </row>
    <row r="59" spans="1:8" x14ac:dyDescent="0.3">
      <c r="A59">
        <v>54</v>
      </c>
      <c r="B59" t="s">
        <v>169</v>
      </c>
      <c r="C59" t="s">
        <v>170</v>
      </c>
      <c r="D59" t="str">
        <f t="shared" si="1"/>
        <v>Gilburt Le Maitre</v>
      </c>
      <c r="E59" t="s">
        <v>14</v>
      </c>
      <c r="F59" t="s">
        <v>28</v>
      </c>
      <c r="G59" t="s">
        <v>33</v>
      </c>
      <c r="H59">
        <v>4.0000000000000001E-3</v>
      </c>
    </row>
    <row r="60" spans="1:8" x14ac:dyDescent="0.3">
      <c r="A60">
        <v>55</v>
      </c>
      <c r="B60" t="s">
        <v>171</v>
      </c>
      <c r="C60" t="s">
        <v>172</v>
      </c>
      <c r="D60" t="str">
        <f t="shared" si="1"/>
        <v>Jaquenette Terris</v>
      </c>
      <c r="E60" t="s">
        <v>13</v>
      </c>
      <c r="F60" t="s">
        <v>28</v>
      </c>
      <c r="G60" t="s">
        <v>41</v>
      </c>
      <c r="H60">
        <v>5.0000000000000001E-3</v>
      </c>
    </row>
    <row r="61" spans="1:8" x14ac:dyDescent="0.3">
      <c r="A61">
        <v>56</v>
      </c>
      <c r="B61" t="s">
        <v>173</v>
      </c>
      <c r="C61" t="s">
        <v>174</v>
      </c>
      <c r="D61" t="str">
        <f t="shared" si="1"/>
        <v>Raine Large</v>
      </c>
      <c r="E61" t="s">
        <v>12</v>
      </c>
      <c r="F61" t="s">
        <v>27</v>
      </c>
      <c r="G61" t="s">
        <v>33</v>
      </c>
      <c r="H61">
        <v>4.0000000000000001E-3</v>
      </c>
    </row>
    <row r="62" spans="1:8" x14ac:dyDescent="0.3">
      <c r="A62">
        <v>57</v>
      </c>
      <c r="B62" t="s">
        <v>175</v>
      </c>
      <c r="C62" t="s">
        <v>176</v>
      </c>
      <c r="D62" t="str">
        <f t="shared" si="1"/>
        <v>Shurlocke Panyer</v>
      </c>
      <c r="E62" t="s">
        <v>10</v>
      </c>
      <c r="F62" t="s">
        <v>46</v>
      </c>
      <c r="G62" t="s">
        <v>41</v>
      </c>
      <c r="H62">
        <v>1E-3</v>
      </c>
    </row>
    <row r="63" spans="1:8" x14ac:dyDescent="0.3">
      <c r="A63">
        <v>58</v>
      </c>
      <c r="B63" t="s">
        <v>177</v>
      </c>
      <c r="C63" t="s">
        <v>178</v>
      </c>
      <c r="D63" t="str">
        <f t="shared" si="1"/>
        <v>Alexio Minichi</v>
      </c>
      <c r="E63" t="s">
        <v>14</v>
      </c>
      <c r="F63" t="s">
        <v>30</v>
      </c>
      <c r="G63" t="s">
        <v>34</v>
      </c>
      <c r="H63">
        <v>6.0000000000000001E-3</v>
      </c>
    </row>
    <row r="64" spans="1:8" x14ac:dyDescent="0.3">
      <c r="A64">
        <v>59</v>
      </c>
      <c r="B64" t="s">
        <v>179</v>
      </c>
      <c r="C64" t="s">
        <v>180</v>
      </c>
      <c r="D64" t="str">
        <f t="shared" si="1"/>
        <v>Tess Horsey</v>
      </c>
      <c r="E64" t="s">
        <v>14</v>
      </c>
      <c r="F64" t="s">
        <v>30</v>
      </c>
      <c r="G64" t="s">
        <v>35</v>
      </c>
      <c r="H64">
        <v>6.0000000000000001E-3</v>
      </c>
    </row>
    <row r="65" spans="1:8" x14ac:dyDescent="0.3">
      <c r="A65">
        <v>60</v>
      </c>
      <c r="B65" t="s">
        <v>181</v>
      </c>
      <c r="C65" t="s">
        <v>182</v>
      </c>
      <c r="D65" t="str">
        <f t="shared" si="1"/>
        <v>Tamara Fortoun</v>
      </c>
      <c r="E65" t="s">
        <v>10</v>
      </c>
      <c r="F65" t="s">
        <v>29</v>
      </c>
      <c r="G65" t="s">
        <v>33</v>
      </c>
      <c r="H65">
        <v>6.0000000000000001E-3</v>
      </c>
    </row>
    <row r="66" spans="1:8" x14ac:dyDescent="0.3">
      <c r="A66">
        <v>61</v>
      </c>
      <c r="B66" t="s">
        <v>183</v>
      </c>
      <c r="C66" t="s">
        <v>184</v>
      </c>
      <c r="D66" t="str">
        <f t="shared" si="1"/>
        <v>Cos Wethered</v>
      </c>
      <c r="E66" t="s">
        <v>12</v>
      </c>
      <c r="F66" t="s">
        <v>28</v>
      </c>
      <c r="G66" t="s">
        <v>36</v>
      </c>
      <c r="H66">
        <v>7.0000000000000001E-3</v>
      </c>
    </row>
    <row r="67" spans="1:8" x14ac:dyDescent="0.3">
      <c r="A67">
        <v>62</v>
      </c>
      <c r="B67" t="s">
        <v>185</v>
      </c>
      <c r="C67" t="s">
        <v>186</v>
      </c>
      <c r="D67" t="str">
        <f t="shared" si="1"/>
        <v>Dannye Beall</v>
      </c>
      <c r="E67" t="s">
        <v>14</v>
      </c>
      <c r="F67" t="s">
        <v>30</v>
      </c>
      <c r="G67" t="s">
        <v>35</v>
      </c>
      <c r="H67">
        <v>5.0000000000000001E-3</v>
      </c>
    </row>
    <row r="68" spans="1:8" x14ac:dyDescent="0.3">
      <c r="A68">
        <v>63</v>
      </c>
      <c r="B68" t="s">
        <v>187</v>
      </c>
      <c r="C68" t="s">
        <v>188</v>
      </c>
      <c r="D68" t="str">
        <f t="shared" si="1"/>
        <v>Maryann Bone</v>
      </c>
      <c r="E68" t="s">
        <v>13</v>
      </c>
      <c r="F68" t="s">
        <v>30</v>
      </c>
      <c r="G68" t="s">
        <v>35</v>
      </c>
      <c r="H68">
        <v>4.0000000000000001E-3</v>
      </c>
    </row>
    <row r="69" spans="1:8" x14ac:dyDescent="0.3">
      <c r="A69">
        <v>64</v>
      </c>
      <c r="B69" t="s">
        <v>189</v>
      </c>
      <c r="C69" t="s">
        <v>190</v>
      </c>
      <c r="D69" t="str">
        <f t="shared" si="1"/>
        <v>Dotty Jandera</v>
      </c>
      <c r="E69" t="s">
        <v>13</v>
      </c>
      <c r="F69" t="s">
        <v>27</v>
      </c>
      <c r="G69" t="s">
        <v>35</v>
      </c>
      <c r="H69">
        <v>7.0000000000000001E-3</v>
      </c>
    </row>
    <row r="70" spans="1:8" x14ac:dyDescent="0.3">
      <c r="A70">
        <v>65</v>
      </c>
      <c r="B70" t="s">
        <v>191</v>
      </c>
      <c r="C70" t="s">
        <v>192</v>
      </c>
      <c r="D70" t="str">
        <f t="shared" si="1"/>
        <v>Ricki Ellins</v>
      </c>
      <c r="E70" t="s">
        <v>13</v>
      </c>
      <c r="F70" t="s">
        <v>27</v>
      </c>
      <c r="G70" t="s">
        <v>33</v>
      </c>
      <c r="H70">
        <v>4.0000000000000001E-3</v>
      </c>
    </row>
    <row r="71" spans="1:8" x14ac:dyDescent="0.3">
      <c r="A71">
        <v>66</v>
      </c>
      <c r="B71" t="s">
        <v>193</v>
      </c>
      <c r="C71" t="s">
        <v>194</v>
      </c>
      <c r="D71" t="str">
        <f t="shared" si="1"/>
        <v>Viv Biesterfeld</v>
      </c>
      <c r="E71" t="s">
        <v>10</v>
      </c>
      <c r="F71" t="s">
        <v>30</v>
      </c>
      <c r="G71" t="s">
        <v>41</v>
      </c>
      <c r="H71">
        <v>7.0000000000000001E-3</v>
      </c>
    </row>
    <row r="72" spans="1:8" x14ac:dyDescent="0.3">
      <c r="A72">
        <v>67</v>
      </c>
      <c r="B72" t="s">
        <v>195</v>
      </c>
      <c r="C72" t="s">
        <v>196</v>
      </c>
      <c r="D72" t="str">
        <f t="shared" si="1"/>
        <v>Salvador Khan</v>
      </c>
      <c r="E72" t="s">
        <v>10</v>
      </c>
      <c r="F72" t="s">
        <v>27</v>
      </c>
      <c r="G72" t="s">
        <v>33</v>
      </c>
      <c r="H72">
        <v>8.9999999999999993E-3</v>
      </c>
    </row>
    <row r="73" spans="1:8" x14ac:dyDescent="0.3">
      <c r="A73">
        <v>68</v>
      </c>
      <c r="B73" t="s">
        <v>197</v>
      </c>
      <c r="C73" t="s">
        <v>198</v>
      </c>
      <c r="D73" t="str">
        <f t="shared" si="1"/>
        <v>Beaufort Liell</v>
      </c>
      <c r="E73" t="s">
        <v>12</v>
      </c>
      <c r="F73" t="s">
        <v>46</v>
      </c>
      <c r="G73" t="s">
        <v>41</v>
      </c>
      <c r="H73">
        <v>6.0000000000000001E-3</v>
      </c>
    </row>
    <row r="74" spans="1:8" x14ac:dyDescent="0.3">
      <c r="A74">
        <v>69</v>
      </c>
      <c r="B74" t="s">
        <v>199</v>
      </c>
      <c r="C74" t="s">
        <v>200</v>
      </c>
      <c r="D74" t="str">
        <f t="shared" si="1"/>
        <v>Brandy Bartolomeoni</v>
      </c>
      <c r="E74" t="s">
        <v>14</v>
      </c>
      <c r="F74" t="s">
        <v>46</v>
      </c>
      <c r="G74" t="s">
        <v>35</v>
      </c>
      <c r="H74">
        <v>5.0000000000000001E-3</v>
      </c>
    </row>
    <row r="75" spans="1:8" x14ac:dyDescent="0.3">
      <c r="A75">
        <v>70</v>
      </c>
      <c r="B75" t="s">
        <v>201</v>
      </c>
      <c r="C75" t="s">
        <v>202</v>
      </c>
      <c r="D75" t="str">
        <f t="shared" si="1"/>
        <v>Ramsay Millsap</v>
      </c>
      <c r="E75" t="s">
        <v>12</v>
      </c>
      <c r="F75" t="s">
        <v>27</v>
      </c>
      <c r="G75" t="s">
        <v>41</v>
      </c>
      <c r="H75">
        <v>3.0000000000000001E-3</v>
      </c>
    </row>
    <row r="76" spans="1:8" x14ac:dyDescent="0.3">
      <c r="A76">
        <v>71</v>
      </c>
      <c r="B76" t="s">
        <v>203</v>
      </c>
      <c r="C76" t="s">
        <v>204</v>
      </c>
      <c r="D76" t="str">
        <f t="shared" si="1"/>
        <v>Willamina Cale</v>
      </c>
      <c r="E76" t="s">
        <v>13</v>
      </c>
      <c r="F76" t="s">
        <v>28</v>
      </c>
      <c r="G76" t="s">
        <v>35</v>
      </c>
      <c r="H76">
        <v>8.0000000000000002E-3</v>
      </c>
    </row>
    <row r="77" spans="1:8" x14ac:dyDescent="0.3">
      <c r="A77">
        <v>72</v>
      </c>
      <c r="B77" t="s">
        <v>205</v>
      </c>
      <c r="C77" t="s">
        <v>206</v>
      </c>
      <c r="D77" t="str">
        <f t="shared" si="1"/>
        <v>Inessa Bagshaw</v>
      </c>
      <c r="E77" t="s">
        <v>13</v>
      </c>
      <c r="F77" t="s">
        <v>46</v>
      </c>
      <c r="G77" t="s">
        <v>36</v>
      </c>
      <c r="H77">
        <v>2E-3</v>
      </c>
    </row>
    <row r="78" spans="1:8" x14ac:dyDescent="0.3">
      <c r="A78">
        <v>73</v>
      </c>
      <c r="B78" t="s">
        <v>207</v>
      </c>
      <c r="C78" t="s">
        <v>208</v>
      </c>
      <c r="D78" t="str">
        <f t="shared" si="1"/>
        <v>Marjy Logsdail</v>
      </c>
      <c r="E78" t="s">
        <v>13</v>
      </c>
      <c r="F78" t="s">
        <v>46</v>
      </c>
      <c r="G78" t="s">
        <v>41</v>
      </c>
      <c r="H78">
        <v>8.0000000000000002E-3</v>
      </c>
    </row>
    <row r="79" spans="1:8" x14ac:dyDescent="0.3">
      <c r="A79">
        <v>74</v>
      </c>
      <c r="B79" t="s">
        <v>209</v>
      </c>
      <c r="C79" t="s">
        <v>210</v>
      </c>
      <c r="D79" t="str">
        <f t="shared" si="1"/>
        <v>Burke Bewfield</v>
      </c>
      <c r="E79" t="s">
        <v>12</v>
      </c>
      <c r="F79" t="s">
        <v>46</v>
      </c>
      <c r="G79" t="s">
        <v>41</v>
      </c>
      <c r="H79">
        <v>5.0000000000000001E-3</v>
      </c>
    </row>
    <row r="80" spans="1:8" x14ac:dyDescent="0.3">
      <c r="A80">
        <v>75</v>
      </c>
      <c r="B80" t="s">
        <v>211</v>
      </c>
      <c r="C80" t="s">
        <v>212</v>
      </c>
      <c r="D80" t="str">
        <f t="shared" si="1"/>
        <v>Chrystal Pinxton</v>
      </c>
      <c r="E80" t="s">
        <v>13</v>
      </c>
      <c r="F80" t="s">
        <v>29</v>
      </c>
      <c r="G80" t="s">
        <v>41</v>
      </c>
      <c r="H80">
        <v>6.0000000000000001E-3</v>
      </c>
    </row>
    <row r="81" spans="1:8" x14ac:dyDescent="0.3">
      <c r="A81">
        <v>76</v>
      </c>
      <c r="B81" t="s">
        <v>213</v>
      </c>
      <c r="C81" t="s">
        <v>214</v>
      </c>
      <c r="D81" t="str">
        <f t="shared" si="1"/>
        <v>Gregorio Kensley</v>
      </c>
      <c r="E81" t="s">
        <v>13</v>
      </c>
      <c r="F81" t="s">
        <v>28</v>
      </c>
      <c r="G81" t="s">
        <v>41</v>
      </c>
      <c r="H81">
        <v>4.0000000000000001E-3</v>
      </c>
    </row>
    <row r="82" spans="1:8" x14ac:dyDescent="0.3">
      <c r="A82">
        <v>77</v>
      </c>
      <c r="B82" t="s">
        <v>215</v>
      </c>
      <c r="C82" t="s">
        <v>216</v>
      </c>
      <c r="D82" t="str">
        <f t="shared" si="1"/>
        <v>Cy Sieur</v>
      </c>
      <c r="E82" t="s">
        <v>13</v>
      </c>
      <c r="F82" t="s">
        <v>27</v>
      </c>
      <c r="G82" t="s">
        <v>41</v>
      </c>
      <c r="H82">
        <v>8.0000000000000002E-3</v>
      </c>
    </row>
    <row r="83" spans="1:8" x14ac:dyDescent="0.3">
      <c r="A83">
        <v>78</v>
      </c>
      <c r="B83" t="s">
        <v>217</v>
      </c>
      <c r="C83" t="s">
        <v>218</v>
      </c>
      <c r="D83" t="str">
        <f t="shared" si="1"/>
        <v>Ivory Rockhill</v>
      </c>
      <c r="E83" t="s">
        <v>10</v>
      </c>
      <c r="F83" t="s">
        <v>46</v>
      </c>
      <c r="G83" t="s">
        <v>34</v>
      </c>
      <c r="H83">
        <v>2E-3</v>
      </c>
    </row>
    <row r="84" spans="1:8" x14ac:dyDescent="0.3">
      <c r="A84">
        <v>79</v>
      </c>
      <c r="B84" t="s">
        <v>63</v>
      </c>
      <c r="C84" t="s">
        <v>219</v>
      </c>
      <c r="D84" t="str">
        <f t="shared" si="1"/>
        <v>Stewart Jamieson</v>
      </c>
      <c r="E84" t="s">
        <v>10</v>
      </c>
      <c r="F84" t="s">
        <v>27</v>
      </c>
      <c r="G84" t="s">
        <v>36</v>
      </c>
      <c r="H84">
        <v>2E-3</v>
      </c>
    </row>
    <row r="85" spans="1:8" x14ac:dyDescent="0.3">
      <c r="A85">
        <v>80</v>
      </c>
      <c r="B85" t="s">
        <v>220</v>
      </c>
      <c r="C85" t="s">
        <v>221</v>
      </c>
      <c r="D85" t="str">
        <f t="shared" si="1"/>
        <v>Estella Tanzer</v>
      </c>
      <c r="E85" t="s">
        <v>13</v>
      </c>
      <c r="F85" t="s">
        <v>28</v>
      </c>
      <c r="G85" t="s">
        <v>41</v>
      </c>
      <c r="H85">
        <v>8.0000000000000002E-3</v>
      </c>
    </row>
    <row r="86" spans="1:8" x14ac:dyDescent="0.3">
      <c r="A86">
        <v>81</v>
      </c>
      <c r="B86" t="s">
        <v>222</v>
      </c>
      <c r="C86" t="s">
        <v>223</v>
      </c>
      <c r="D86" t="str">
        <f t="shared" si="1"/>
        <v>Nanon Boord</v>
      </c>
      <c r="E86" t="s">
        <v>14</v>
      </c>
      <c r="F86" t="s">
        <v>29</v>
      </c>
      <c r="G86" t="s">
        <v>35</v>
      </c>
      <c r="H86">
        <v>6.0000000000000001E-3</v>
      </c>
    </row>
    <row r="87" spans="1:8" x14ac:dyDescent="0.3">
      <c r="A87">
        <v>82</v>
      </c>
      <c r="B87" t="s">
        <v>224</v>
      </c>
      <c r="C87" t="s">
        <v>225</v>
      </c>
      <c r="D87" t="str">
        <f t="shared" si="1"/>
        <v>Claudianus Darte</v>
      </c>
      <c r="E87" t="s">
        <v>14</v>
      </c>
      <c r="F87" t="s">
        <v>30</v>
      </c>
      <c r="G87" t="s">
        <v>36</v>
      </c>
      <c r="H87">
        <v>1E-3</v>
      </c>
    </row>
    <row r="88" spans="1:8" x14ac:dyDescent="0.3">
      <c r="A88">
        <v>83</v>
      </c>
      <c r="B88" t="s">
        <v>226</v>
      </c>
      <c r="C88" t="s">
        <v>227</v>
      </c>
      <c r="D88" t="str">
        <f t="shared" si="1"/>
        <v>Kimbra Merriman</v>
      </c>
      <c r="E88" t="s">
        <v>13</v>
      </c>
      <c r="F88" t="s">
        <v>29</v>
      </c>
      <c r="G88" t="s">
        <v>41</v>
      </c>
      <c r="H88">
        <v>4.0000000000000001E-3</v>
      </c>
    </row>
    <row r="89" spans="1:8" x14ac:dyDescent="0.3">
      <c r="A89">
        <v>84</v>
      </c>
      <c r="B89" t="s">
        <v>228</v>
      </c>
      <c r="C89" t="s">
        <v>229</v>
      </c>
      <c r="D89" t="str">
        <f t="shared" si="1"/>
        <v>Levin Kidwell</v>
      </c>
      <c r="E89" t="s">
        <v>10</v>
      </c>
      <c r="F89" t="s">
        <v>30</v>
      </c>
      <c r="G89" t="s">
        <v>34</v>
      </c>
      <c r="H89">
        <v>6.0000000000000001E-3</v>
      </c>
    </row>
    <row r="90" spans="1:8" x14ac:dyDescent="0.3">
      <c r="A90">
        <v>85</v>
      </c>
      <c r="B90" t="s">
        <v>230</v>
      </c>
      <c r="C90" t="s">
        <v>231</v>
      </c>
      <c r="D90" t="str">
        <f t="shared" si="1"/>
        <v>Zsa zsa Clubb</v>
      </c>
      <c r="E90" t="s">
        <v>14</v>
      </c>
      <c r="F90" t="s">
        <v>30</v>
      </c>
      <c r="G90" t="s">
        <v>36</v>
      </c>
      <c r="H90">
        <v>4.0000000000000001E-3</v>
      </c>
    </row>
    <row r="91" spans="1:8" x14ac:dyDescent="0.3">
      <c r="A91">
        <v>86</v>
      </c>
      <c r="B91" t="s">
        <v>232</v>
      </c>
      <c r="C91" t="s">
        <v>233</v>
      </c>
      <c r="D91" t="str">
        <f t="shared" si="1"/>
        <v>Killy Bert</v>
      </c>
      <c r="E91" t="s">
        <v>10</v>
      </c>
      <c r="F91" t="s">
        <v>46</v>
      </c>
      <c r="G91" t="s">
        <v>35</v>
      </c>
      <c r="H91">
        <v>8.0000000000000002E-3</v>
      </c>
    </row>
    <row r="92" spans="1:8" x14ac:dyDescent="0.3">
      <c r="A92">
        <v>87</v>
      </c>
      <c r="B92" t="s">
        <v>234</v>
      </c>
      <c r="C92" t="s">
        <v>235</v>
      </c>
      <c r="D92" t="str">
        <f t="shared" si="1"/>
        <v>Roda Ubsdell</v>
      </c>
      <c r="E92" t="s">
        <v>12</v>
      </c>
      <c r="F92" t="s">
        <v>29</v>
      </c>
      <c r="G92" t="s">
        <v>35</v>
      </c>
      <c r="H92">
        <v>7.0000000000000001E-3</v>
      </c>
    </row>
    <row r="93" spans="1:8" x14ac:dyDescent="0.3">
      <c r="A93">
        <v>88</v>
      </c>
      <c r="B93" t="s">
        <v>236</v>
      </c>
      <c r="C93" t="s">
        <v>237</v>
      </c>
      <c r="D93" t="str">
        <f t="shared" si="1"/>
        <v>Aline Urlich</v>
      </c>
      <c r="E93" t="s">
        <v>12</v>
      </c>
      <c r="F93" t="s">
        <v>29</v>
      </c>
      <c r="G93" t="s">
        <v>33</v>
      </c>
      <c r="H93">
        <v>3.0000000000000001E-3</v>
      </c>
    </row>
    <row r="94" spans="1:8" x14ac:dyDescent="0.3">
      <c r="A94">
        <v>89</v>
      </c>
      <c r="B94" t="s">
        <v>238</v>
      </c>
      <c r="C94" t="s">
        <v>239</v>
      </c>
      <c r="D94" t="str">
        <f t="shared" si="1"/>
        <v>Emmet Lett</v>
      </c>
      <c r="E94" t="s">
        <v>12</v>
      </c>
      <c r="F94" t="s">
        <v>46</v>
      </c>
      <c r="G94" t="s">
        <v>35</v>
      </c>
      <c r="H94">
        <v>4.0000000000000001E-3</v>
      </c>
    </row>
    <row r="95" spans="1:8" x14ac:dyDescent="0.3">
      <c r="A95">
        <v>90</v>
      </c>
      <c r="B95" t="s">
        <v>240</v>
      </c>
      <c r="C95" t="s">
        <v>241</v>
      </c>
      <c r="D95" t="str">
        <f t="shared" si="1"/>
        <v>Katine Kaines</v>
      </c>
      <c r="E95" t="s">
        <v>12</v>
      </c>
      <c r="F95" t="s">
        <v>27</v>
      </c>
      <c r="G95" t="s">
        <v>36</v>
      </c>
      <c r="H95">
        <v>8.9999999999999993E-3</v>
      </c>
    </row>
    <row r="96" spans="1:8" x14ac:dyDescent="0.3">
      <c r="A96">
        <v>91</v>
      </c>
      <c r="B96" t="s">
        <v>242</v>
      </c>
      <c r="C96" t="s">
        <v>243</v>
      </c>
      <c r="D96" t="str">
        <f t="shared" si="1"/>
        <v>Wally Richardsson</v>
      </c>
      <c r="E96" t="s">
        <v>12</v>
      </c>
      <c r="F96" t="s">
        <v>27</v>
      </c>
      <c r="G96" t="s">
        <v>34</v>
      </c>
      <c r="H96">
        <v>6.0000000000000001E-3</v>
      </c>
    </row>
    <row r="97" spans="1:8" x14ac:dyDescent="0.3">
      <c r="A97">
        <v>92</v>
      </c>
      <c r="B97" t="s">
        <v>244</v>
      </c>
      <c r="C97" t="s">
        <v>245</v>
      </c>
      <c r="D97" t="str">
        <f t="shared" si="1"/>
        <v>Byrle Risborough</v>
      </c>
      <c r="E97" t="s">
        <v>13</v>
      </c>
      <c r="F97" t="s">
        <v>30</v>
      </c>
      <c r="G97" t="s">
        <v>41</v>
      </c>
      <c r="H97">
        <v>2E-3</v>
      </c>
    </row>
    <row r="98" spans="1:8" x14ac:dyDescent="0.3">
      <c r="A98">
        <v>93</v>
      </c>
      <c r="B98" t="s">
        <v>246</v>
      </c>
      <c r="C98" t="s">
        <v>247</v>
      </c>
      <c r="D98" t="str">
        <f t="shared" si="1"/>
        <v>Delmore Eager</v>
      </c>
      <c r="E98" t="s">
        <v>12</v>
      </c>
      <c r="F98" t="s">
        <v>27</v>
      </c>
      <c r="G98" t="s">
        <v>36</v>
      </c>
      <c r="H98">
        <v>4.0000000000000001E-3</v>
      </c>
    </row>
    <row r="99" spans="1:8" x14ac:dyDescent="0.3">
      <c r="A99">
        <v>94</v>
      </c>
      <c r="B99" t="s">
        <v>248</v>
      </c>
      <c r="C99" t="s">
        <v>249</v>
      </c>
      <c r="D99" t="str">
        <f t="shared" si="1"/>
        <v>Sharlene Stringer</v>
      </c>
      <c r="E99" t="s">
        <v>12</v>
      </c>
      <c r="F99" t="s">
        <v>27</v>
      </c>
      <c r="G99" t="s">
        <v>36</v>
      </c>
      <c r="H99">
        <v>7.0000000000000001E-3</v>
      </c>
    </row>
    <row r="100" spans="1:8" x14ac:dyDescent="0.3">
      <c r="A100">
        <v>95</v>
      </c>
      <c r="B100" t="s">
        <v>250</v>
      </c>
      <c r="C100" t="s">
        <v>251</v>
      </c>
      <c r="D100" t="str">
        <f t="shared" si="1"/>
        <v>Nevins Swynley</v>
      </c>
      <c r="E100" t="s">
        <v>14</v>
      </c>
      <c r="F100" t="s">
        <v>27</v>
      </c>
      <c r="G100" t="s">
        <v>36</v>
      </c>
      <c r="H100">
        <v>6.0000000000000001E-3</v>
      </c>
    </row>
    <row r="101" spans="1:8" x14ac:dyDescent="0.3">
      <c r="A101">
        <v>96</v>
      </c>
      <c r="B101" t="s">
        <v>252</v>
      </c>
      <c r="C101" t="s">
        <v>253</v>
      </c>
      <c r="D101" t="str">
        <f t="shared" si="1"/>
        <v>Katey Gianilli</v>
      </c>
      <c r="E101" t="s">
        <v>14</v>
      </c>
      <c r="F101" t="s">
        <v>30</v>
      </c>
      <c r="G101" t="s">
        <v>33</v>
      </c>
      <c r="H101">
        <v>4.0000000000000001E-3</v>
      </c>
    </row>
    <row r="102" spans="1:8" x14ac:dyDescent="0.3">
      <c r="A102">
        <v>97</v>
      </c>
      <c r="B102" t="s">
        <v>254</v>
      </c>
      <c r="C102" t="s">
        <v>255</v>
      </c>
      <c r="D102" t="str">
        <f t="shared" si="1"/>
        <v>Shandy Kaubisch</v>
      </c>
      <c r="E102" t="s">
        <v>12</v>
      </c>
      <c r="F102" t="s">
        <v>46</v>
      </c>
      <c r="G102" t="s">
        <v>41</v>
      </c>
      <c r="H102">
        <v>6.0000000000000001E-3</v>
      </c>
    </row>
    <row r="103" spans="1:8" x14ac:dyDescent="0.3">
      <c r="A103">
        <v>98</v>
      </c>
      <c r="B103" t="s">
        <v>256</v>
      </c>
      <c r="C103" t="s">
        <v>257</v>
      </c>
      <c r="D103" t="str">
        <f t="shared" si="1"/>
        <v>Kipp Garrit</v>
      </c>
      <c r="E103" t="s">
        <v>12</v>
      </c>
      <c r="F103" t="s">
        <v>28</v>
      </c>
      <c r="G103" t="s">
        <v>41</v>
      </c>
      <c r="H103">
        <v>6.0000000000000001E-3</v>
      </c>
    </row>
    <row r="104" spans="1:8" x14ac:dyDescent="0.3">
      <c r="A104">
        <v>99</v>
      </c>
      <c r="B104" t="s">
        <v>258</v>
      </c>
      <c r="C104" t="s">
        <v>259</v>
      </c>
      <c r="D104" t="str">
        <f t="shared" si="1"/>
        <v>Ravid Dailly</v>
      </c>
      <c r="E104" t="s">
        <v>14</v>
      </c>
      <c r="F104" t="s">
        <v>27</v>
      </c>
      <c r="G104" t="s">
        <v>41</v>
      </c>
      <c r="H104">
        <v>2E-3</v>
      </c>
    </row>
    <row r="105" spans="1:8" x14ac:dyDescent="0.3">
      <c r="A105">
        <v>100</v>
      </c>
      <c r="B105" t="s">
        <v>260</v>
      </c>
      <c r="C105" t="s">
        <v>261</v>
      </c>
      <c r="D105" t="str">
        <f t="shared" si="1"/>
        <v>Anstice Blanchflower</v>
      </c>
      <c r="E105" t="s">
        <v>13</v>
      </c>
      <c r="F105" t="s">
        <v>27</v>
      </c>
      <c r="G105" t="s">
        <v>41</v>
      </c>
      <c r="H105">
        <v>6.0000000000000001E-3</v>
      </c>
    </row>
    <row r="106" spans="1:8" x14ac:dyDescent="0.3">
      <c r="A106">
        <v>101</v>
      </c>
      <c r="B106" t="s">
        <v>284</v>
      </c>
      <c r="C106" t="s">
        <v>285</v>
      </c>
      <c r="D106" t="s">
        <v>286</v>
      </c>
      <c r="E106" t="s">
        <v>14</v>
      </c>
      <c r="F106" t="s">
        <v>28</v>
      </c>
      <c r="G106" t="s">
        <v>41</v>
      </c>
      <c r="H106">
        <v>1E-3</v>
      </c>
    </row>
    <row r="111" spans="1:8" ht="2.4" customHeight="1" x14ac:dyDescent="0.3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ShowEmployeeForm">
                <anchor moveWithCells="1">
                  <from>
                    <xdr:col>0</xdr:col>
                    <xdr:colOff>251460</xdr:colOff>
                    <xdr:row>1</xdr:row>
                    <xdr:rowOff>106680</xdr:rowOff>
                  </from>
                  <to>
                    <xdr:col>2</xdr:col>
                    <xdr:colOff>91440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ShowEditEmployeeUF">
                <anchor moveWithCells="1">
                  <from>
                    <xdr:col>2</xdr:col>
                    <xdr:colOff>182880</xdr:colOff>
                    <xdr:row>1</xdr:row>
                    <xdr:rowOff>99060</xdr:rowOff>
                  </from>
                  <to>
                    <xdr:col>3</xdr:col>
                    <xdr:colOff>922020</xdr:colOff>
                    <xdr:row>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34945-C369-4E9C-A6B4-3B22EAFD66DC}">
  <sheetPr codeName="Sheet2"/>
  <dimension ref="A1:K105"/>
  <sheetViews>
    <sheetView tabSelected="1" topLeftCell="A78" workbookViewId="0">
      <selection activeCell="J80" sqref="J80"/>
    </sheetView>
  </sheetViews>
  <sheetFormatPr defaultRowHeight="14.4" x14ac:dyDescent="0.3"/>
  <cols>
    <col min="1" max="1" width="12.44140625" style="13" customWidth="1"/>
    <col min="2" max="2" width="14" style="13" customWidth="1"/>
    <col min="3" max="3" width="11.77734375" style="13" customWidth="1"/>
    <col min="4" max="4" width="18.88671875" style="13" customWidth="1"/>
    <col min="5" max="5" width="18.109375" style="13" customWidth="1"/>
    <col min="6" max="6" width="22.21875" style="13" bestFit="1" customWidth="1"/>
    <col min="7" max="7" width="20.21875" style="26" customWidth="1"/>
    <col min="8" max="8" width="16.21875" style="26" customWidth="1"/>
    <col min="9" max="9" width="15.33203125" style="13" customWidth="1"/>
    <col min="10" max="10" width="20.21875" style="13" customWidth="1"/>
    <col min="11" max="11" width="18.5546875" bestFit="1" customWidth="1"/>
  </cols>
  <sheetData>
    <row r="1" spans="1:11" s="3" customFormat="1" x14ac:dyDescent="0.3">
      <c r="A1" s="14"/>
      <c r="B1" s="14"/>
      <c r="C1" s="14"/>
      <c r="D1" s="14"/>
      <c r="E1" s="14"/>
      <c r="F1" s="14"/>
      <c r="G1" s="24"/>
      <c r="H1" s="24"/>
      <c r="I1" s="14"/>
      <c r="J1" s="14"/>
    </row>
    <row r="2" spans="1:11" s="3" customFormat="1" x14ac:dyDescent="0.3">
      <c r="A2" s="14"/>
      <c r="B2" s="14"/>
      <c r="C2" s="14"/>
      <c r="D2" s="14"/>
      <c r="E2" s="14"/>
      <c r="G2" s="24"/>
      <c r="H2" s="25"/>
    </row>
    <row r="3" spans="1:11" s="3" customFormat="1" x14ac:dyDescent="0.3">
      <c r="A3" s="14"/>
      <c r="B3" s="14"/>
      <c r="C3" s="14"/>
      <c r="D3" s="14"/>
      <c r="E3" s="14"/>
      <c r="F3" s="14"/>
      <c r="G3" s="24"/>
      <c r="H3" s="24"/>
      <c r="I3" s="14"/>
      <c r="J3" s="14"/>
    </row>
    <row r="4" spans="1:11" s="3" customFormat="1" x14ac:dyDescent="0.3">
      <c r="A4" s="14"/>
      <c r="B4" s="14"/>
      <c r="C4" s="14"/>
      <c r="D4" s="14"/>
      <c r="E4" s="14"/>
      <c r="F4" s="14"/>
      <c r="G4" s="24"/>
      <c r="H4" s="24"/>
      <c r="I4" s="14"/>
      <c r="J4" s="14"/>
    </row>
    <row r="5" spans="1:11" s="4" customFormat="1" x14ac:dyDescent="0.3">
      <c r="A5" s="22" t="s">
        <v>262</v>
      </c>
      <c r="B5" s="23" t="s">
        <v>263</v>
      </c>
      <c r="C5" s="23" t="s">
        <v>264</v>
      </c>
      <c r="D5" s="23" t="s">
        <v>37</v>
      </c>
      <c r="E5" s="4" t="s">
        <v>38</v>
      </c>
      <c r="F5" s="23" t="s">
        <v>7</v>
      </c>
      <c r="G5" s="23" t="s">
        <v>8</v>
      </c>
      <c r="H5" s="23" t="s">
        <v>9</v>
      </c>
      <c r="I5" s="23" t="s">
        <v>49</v>
      </c>
      <c r="J5" s="23" t="s">
        <v>61</v>
      </c>
      <c r="K5" s="28" t="s">
        <v>60</v>
      </c>
    </row>
    <row r="6" spans="1:11" x14ac:dyDescent="0.3">
      <c r="A6" s="13">
        <v>1</v>
      </c>
      <c r="B6" s="13">
        <v>19</v>
      </c>
      <c r="C6" s="13">
        <v>14</v>
      </c>
      <c r="D6" s="21">
        <v>45212</v>
      </c>
      <c r="E6" s="21">
        <v>45449</v>
      </c>
      <c r="F6" t="s">
        <v>32</v>
      </c>
      <c r="G6" s="26">
        <v>747</v>
      </c>
      <c r="H6" s="27">
        <v>44934</v>
      </c>
      <c r="I6" t="s">
        <v>59</v>
      </c>
      <c r="J6" t="s">
        <v>53</v>
      </c>
      <c r="K6" s="20">
        <v>45155</v>
      </c>
    </row>
    <row r="7" spans="1:11" x14ac:dyDescent="0.3">
      <c r="A7" s="13">
        <v>2</v>
      </c>
      <c r="B7" s="13">
        <v>62</v>
      </c>
      <c r="C7" s="13">
        <v>5</v>
      </c>
      <c r="D7" s="21">
        <v>45340</v>
      </c>
      <c r="E7" s="21">
        <v>45395</v>
      </c>
      <c r="F7" t="s">
        <v>32</v>
      </c>
      <c r="G7" s="26">
        <v>262</v>
      </c>
      <c r="H7" s="27">
        <v>45053</v>
      </c>
      <c r="I7" t="s">
        <v>59</v>
      </c>
      <c r="J7" t="s">
        <v>53</v>
      </c>
      <c r="K7" s="20">
        <v>45155</v>
      </c>
    </row>
    <row r="8" spans="1:11" x14ac:dyDescent="0.3">
      <c r="A8" s="13">
        <v>3</v>
      </c>
      <c r="B8" s="13">
        <v>86</v>
      </c>
      <c r="C8" s="13">
        <v>14</v>
      </c>
      <c r="D8" s="21">
        <v>45348</v>
      </c>
      <c r="E8" s="21">
        <v>45416</v>
      </c>
      <c r="F8" t="s">
        <v>265</v>
      </c>
      <c r="G8" s="26">
        <v>375</v>
      </c>
      <c r="H8" s="27">
        <v>45078</v>
      </c>
      <c r="I8" t="s">
        <v>59</v>
      </c>
      <c r="J8" t="s">
        <v>53</v>
      </c>
      <c r="K8" s="20">
        <v>45156</v>
      </c>
    </row>
    <row r="9" spans="1:11" x14ac:dyDescent="0.3">
      <c r="A9" s="13">
        <v>4</v>
      </c>
      <c r="B9" s="13">
        <v>51</v>
      </c>
      <c r="C9" s="13">
        <v>2</v>
      </c>
      <c r="D9" s="21">
        <v>45288</v>
      </c>
      <c r="E9" s="21">
        <v>45367</v>
      </c>
      <c r="F9" t="s">
        <v>32</v>
      </c>
      <c r="G9" s="26">
        <v>362</v>
      </c>
      <c r="H9" s="27">
        <v>45079</v>
      </c>
      <c r="I9" t="s">
        <v>42</v>
      </c>
      <c r="J9" t="s">
        <v>53</v>
      </c>
    </row>
    <row r="10" spans="1:11" x14ac:dyDescent="0.3">
      <c r="A10" s="13">
        <v>5</v>
      </c>
      <c r="B10" s="13">
        <v>50</v>
      </c>
      <c r="C10" s="13">
        <v>14</v>
      </c>
      <c r="D10" s="21">
        <v>45331</v>
      </c>
      <c r="E10" s="21">
        <v>45429</v>
      </c>
      <c r="F10" t="s">
        <v>265</v>
      </c>
      <c r="G10" s="26">
        <v>209</v>
      </c>
      <c r="H10" s="27">
        <v>45079</v>
      </c>
      <c r="I10" t="s">
        <v>42</v>
      </c>
      <c r="J10" t="s">
        <v>53</v>
      </c>
    </row>
    <row r="11" spans="1:11" x14ac:dyDescent="0.3">
      <c r="A11" s="13">
        <v>6</v>
      </c>
      <c r="B11" s="13">
        <v>51</v>
      </c>
      <c r="C11" s="13">
        <v>14</v>
      </c>
      <c r="D11" s="21">
        <v>45259</v>
      </c>
      <c r="E11" s="21">
        <v>45390</v>
      </c>
      <c r="F11" t="s">
        <v>32</v>
      </c>
      <c r="G11" s="26">
        <v>101</v>
      </c>
      <c r="H11" s="27">
        <v>45070</v>
      </c>
      <c r="I11" t="s">
        <v>42</v>
      </c>
      <c r="J11" t="s">
        <v>53</v>
      </c>
    </row>
    <row r="12" spans="1:11" x14ac:dyDescent="0.3">
      <c r="A12" s="13">
        <v>7</v>
      </c>
      <c r="B12" s="13">
        <v>78</v>
      </c>
      <c r="C12" s="13">
        <v>7</v>
      </c>
      <c r="D12" s="21">
        <v>45272</v>
      </c>
      <c r="E12" s="21">
        <v>45357</v>
      </c>
      <c r="F12" t="s">
        <v>32</v>
      </c>
      <c r="G12" s="26">
        <v>543</v>
      </c>
      <c r="H12" s="27">
        <v>45141</v>
      </c>
      <c r="I12" t="s">
        <v>42</v>
      </c>
      <c r="J12" t="s">
        <v>53</v>
      </c>
    </row>
    <row r="13" spans="1:11" x14ac:dyDescent="0.3">
      <c r="A13" s="13">
        <v>8</v>
      </c>
      <c r="B13" s="13">
        <v>56</v>
      </c>
      <c r="C13" s="13">
        <v>10</v>
      </c>
      <c r="D13" s="21">
        <v>45334</v>
      </c>
      <c r="E13" s="21">
        <v>45458</v>
      </c>
      <c r="F13" t="s">
        <v>32</v>
      </c>
      <c r="G13" s="26">
        <v>491</v>
      </c>
      <c r="H13" s="27">
        <v>44974</v>
      </c>
      <c r="I13" t="s">
        <v>50</v>
      </c>
      <c r="J13" t="s">
        <v>53</v>
      </c>
      <c r="K13" s="20">
        <v>45155</v>
      </c>
    </row>
    <row r="14" spans="1:11" x14ac:dyDescent="0.3">
      <c r="A14" s="13">
        <v>9</v>
      </c>
      <c r="B14" s="13">
        <v>13</v>
      </c>
      <c r="C14" s="13">
        <v>15</v>
      </c>
      <c r="D14" s="21">
        <v>45294</v>
      </c>
      <c r="E14" s="21">
        <v>45452</v>
      </c>
      <c r="F14" t="s">
        <v>265</v>
      </c>
      <c r="G14" s="26">
        <v>75</v>
      </c>
      <c r="H14" s="27">
        <v>44954</v>
      </c>
      <c r="I14" t="s">
        <v>42</v>
      </c>
      <c r="J14" t="s">
        <v>53</v>
      </c>
    </row>
    <row r="15" spans="1:11" x14ac:dyDescent="0.3">
      <c r="A15" s="13">
        <v>10</v>
      </c>
      <c r="B15" s="13">
        <v>7</v>
      </c>
      <c r="C15" s="13">
        <v>9</v>
      </c>
      <c r="D15" s="21">
        <v>45302</v>
      </c>
      <c r="E15" s="21">
        <v>45357</v>
      </c>
      <c r="F15" t="s">
        <v>32</v>
      </c>
      <c r="G15" s="26">
        <v>543</v>
      </c>
      <c r="H15" s="27">
        <v>45095</v>
      </c>
      <c r="I15" t="s">
        <v>50</v>
      </c>
      <c r="J15" t="s">
        <v>53</v>
      </c>
      <c r="K15" s="20">
        <v>45155</v>
      </c>
    </row>
    <row r="16" spans="1:11" x14ac:dyDescent="0.3">
      <c r="A16" s="13">
        <v>11</v>
      </c>
      <c r="B16" s="13">
        <v>19</v>
      </c>
      <c r="C16" s="13">
        <v>1</v>
      </c>
      <c r="D16" s="21">
        <v>45294</v>
      </c>
      <c r="E16" s="21">
        <v>45419</v>
      </c>
      <c r="F16" t="s">
        <v>32</v>
      </c>
      <c r="G16" s="26">
        <v>395</v>
      </c>
      <c r="H16" s="27">
        <v>45068</v>
      </c>
      <c r="I16" t="s">
        <v>42</v>
      </c>
      <c r="J16" t="s">
        <v>53</v>
      </c>
    </row>
    <row r="17" spans="1:11" x14ac:dyDescent="0.3">
      <c r="A17" s="13">
        <v>12</v>
      </c>
      <c r="B17" s="13">
        <v>50</v>
      </c>
      <c r="C17" s="13">
        <v>7</v>
      </c>
      <c r="D17" s="21">
        <v>45319</v>
      </c>
      <c r="E17" s="21">
        <v>45352</v>
      </c>
      <c r="F17" t="s">
        <v>32</v>
      </c>
      <c r="G17" s="26">
        <v>375</v>
      </c>
      <c r="H17" s="27">
        <v>45154</v>
      </c>
      <c r="I17" t="s">
        <v>42</v>
      </c>
      <c r="J17" t="s">
        <v>53</v>
      </c>
    </row>
    <row r="18" spans="1:11" x14ac:dyDescent="0.3">
      <c r="A18" s="13">
        <v>13</v>
      </c>
      <c r="B18" s="13">
        <v>94</v>
      </c>
      <c r="C18" s="13">
        <v>4</v>
      </c>
      <c r="D18" s="21">
        <v>45237</v>
      </c>
      <c r="E18" s="21">
        <v>45392</v>
      </c>
      <c r="F18" t="s">
        <v>32</v>
      </c>
      <c r="G18" s="26">
        <v>319</v>
      </c>
      <c r="H18" s="27">
        <v>45117</v>
      </c>
      <c r="I18" t="s">
        <v>42</v>
      </c>
      <c r="J18" t="s">
        <v>53</v>
      </c>
    </row>
    <row r="19" spans="1:11" x14ac:dyDescent="0.3">
      <c r="A19" s="13">
        <v>14</v>
      </c>
      <c r="B19" s="13">
        <v>86</v>
      </c>
      <c r="C19" s="13">
        <v>14</v>
      </c>
      <c r="D19" s="21">
        <v>45318</v>
      </c>
      <c r="E19" s="21">
        <v>45386</v>
      </c>
      <c r="F19" t="s">
        <v>32</v>
      </c>
      <c r="G19" s="26">
        <v>440</v>
      </c>
      <c r="H19" s="27">
        <v>45035</v>
      </c>
      <c r="I19" t="s">
        <v>42</v>
      </c>
      <c r="J19" t="s">
        <v>53</v>
      </c>
    </row>
    <row r="20" spans="1:11" x14ac:dyDescent="0.3">
      <c r="A20" s="13">
        <v>15</v>
      </c>
      <c r="B20" s="13">
        <v>74</v>
      </c>
      <c r="C20" s="13">
        <v>8</v>
      </c>
      <c r="D20" s="21">
        <v>45323</v>
      </c>
      <c r="E20" s="21">
        <v>45433</v>
      </c>
      <c r="F20" t="s">
        <v>265</v>
      </c>
      <c r="G20" s="26">
        <v>705</v>
      </c>
      <c r="H20" s="27">
        <v>45073</v>
      </c>
      <c r="I20" t="s">
        <v>42</v>
      </c>
      <c r="J20" t="s">
        <v>53</v>
      </c>
    </row>
    <row r="21" spans="1:11" x14ac:dyDescent="0.3">
      <c r="A21" s="13">
        <v>16</v>
      </c>
      <c r="B21" s="13">
        <v>44</v>
      </c>
      <c r="C21" s="13">
        <v>9</v>
      </c>
      <c r="D21" s="21">
        <v>45238</v>
      </c>
      <c r="E21" s="21">
        <v>45422</v>
      </c>
      <c r="F21" t="s">
        <v>265</v>
      </c>
      <c r="G21" s="26">
        <v>197</v>
      </c>
      <c r="H21" s="27">
        <v>45099</v>
      </c>
      <c r="I21" t="s">
        <v>42</v>
      </c>
      <c r="J21" t="s">
        <v>53</v>
      </c>
    </row>
    <row r="22" spans="1:11" x14ac:dyDescent="0.3">
      <c r="A22" s="13">
        <v>17</v>
      </c>
      <c r="B22" s="13">
        <v>85</v>
      </c>
      <c r="C22" s="13">
        <v>7</v>
      </c>
      <c r="D22" s="21">
        <v>45273</v>
      </c>
      <c r="E22" s="21">
        <v>45413</v>
      </c>
      <c r="F22" t="s">
        <v>265</v>
      </c>
      <c r="G22" s="26">
        <v>170</v>
      </c>
      <c r="H22" s="27">
        <v>44963</v>
      </c>
      <c r="I22" t="s">
        <v>282</v>
      </c>
      <c r="J22" t="s">
        <v>55</v>
      </c>
      <c r="K22" s="20">
        <v>45155</v>
      </c>
    </row>
    <row r="23" spans="1:11" x14ac:dyDescent="0.3">
      <c r="A23" s="13">
        <v>18</v>
      </c>
      <c r="B23" s="13">
        <v>53</v>
      </c>
      <c r="C23" s="13">
        <v>6</v>
      </c>
      <c r="D23" s="21">
        <v>45299</v>
      </c>
      <c r="E23" s="21">
        <v>45422</v>
      </c>
      <c r="F23" t="s">
        <v>32</v>
      </c>
      <c r="G23" s="26">
        <v>481</v>
      </c>
      <c r="H23" s="27">
        <v>44977</v>
      </c>
      <c r="I23" t="s">
        <v>42</v>
      </c>
      <c r="J23" t="s">
        <v>53</v>
      </c>
    </row>
    <row r="24" spans="1:11" x14ac:dyDescent="0.3">
      <c r="A24" s="13">
        <v>19</v>
      </c>
      <c r="B24" s="13">
        <v>79</v>
      </c>
      <c r="C24" s="13">
        <v>16</v>
      </c>
      <c r="D24" s="21">
        <v>45333</v>
      </c>
      <c r="E24" s="21">
        <v>45399</v>
      </c>
      <c r="F24" t="s">
        <v>32</v>
      </c>
      <c r="G24" s="26">
        <v>382</v>
      </c>
      <c r="H24" s="27">
        <v>45046</v>
      </c>
      <c r="I24" t="s">
        <v>50</v>
      </c>
      <c r="J24" t="s">
        <v>53</v>
      </c>
      <c r="K24" s="20">
        <v>45155</v>
      </c>
    </row>
    <row r="25" spans="1:11" x14ac:dyDescent="0.3">
      <c r="A25" s="13">
        <v>20</v>
      </c>
      <c r="B25" s="13">
        <v>33</v>
      </c>
      <c r="C25" s="13">
        <v>9</v>
      </c>
      <c r="D25" s="21">
        <v>45269</v>
      </c>
      <c r="E25" s="21">
        <v>45377</v>
      </c>
      <c r="F25" t="s">
        <v>265</v>
      </c>
      <c r="G25" s="26">
        <v>164</v>
      </c>
      <c r="H25" s="27">
        <v>44938</v>
      </c>
      <c r="I25" t="s">
        <v>42</v>
      </c>
      <c r="J25" t="s">
        <v>53</v>
      </c>
    </row>
    <row r="26" spans="1:11" x14ac:dyDescent="0.3">
      <c r="A26" s="13">
        <v>21</v>
      </c>
      <c r="B26" s="13">
        <v>61</v>
      </c>
      <c r="C26" s="13">
        <v>2</v>
      </c>
      <c r="D26" s="21">
        <v>45347</v>
      </c>
      <c r="E26" s="21">
        <v>45393</v>
      </c>
      <c r="F26" t="s">
        <v>32</v>
      </c>
      <c r="G26" s="26">
        <v>294</v>
      </c>
      <c r="H26" s="27">
        <v>45073</v>
      </c>
      <c r="I26" t="s">
        <v>42</v>
      </c>
      <c r="J26" t="s">
        <v>53</v>
      </c>
    </row>
    <row r="27" spans="1:11" x14ac:dyDescent="0.3">
      <c r="A27" s="13">
        <v>22</v>
      </c>
      <c r="B27" s="13">
        <v>67</v>
      </c>
      <c r="C27" s="13">
        <v>4</v>
      </c>
      <c r="D27" s="21">
        <v>45214</v>
      </c>
      <c r="E27" s="21">
        <v>45396</v>
      </c>
      <c r="F27" t="s">
        <v>32</v>
      </c>
      <c r="G27" s="26">
        <v>517</v>
      </c>
      <c r="H27" s="27">
        <v>45083</v>
      </c>
      <c r="I27" t="s">
        <v>282</v>
      </c>
      <c r="J27" t="s">
        <v>56</v>
      </c>
      <c r="K27" s="20">
        <v>45155</v>
      </c>
    </row>
    <row r="28" spans="1:11" x14ac:dyDescent="0.3">
      <c r="A28" s="13">
        <v>23</v>
      </c>
      <c r="B28" s="13">
        <v>89</v>
      </c>
      <c r="C28" s="13">
        <v>8</v>
      </c>
      <c r="D28" s="21">
        <v>45281</v>
      </c>
      <c r="E28" s="21">
        <v>45427</v>
      </c>
      <c r="F28" t="s">
        <v>265</v>
      </c>
      <c r="G28" s="26">
        <v>137</v>
      </c>
      <c r="H28" s="27">
        <v>45064</v>
      </c>
      <c r="I28" t="s">
        <v>42</v>
      </c>
      <c r="J28" t="s">
        <v>53</v>
      </c>
    </row>
    <row r="29" spans="1:11" x14ac:dyDescent="0.3">
      <c r="A29" s="13">
        <v>24</v>
      </c>
      <c r="B29" s="13">
        <v>77</v>
      </c>
      <c r="C29" s="13">
        <v>12</v>
      </c>
      <c r="D29" s="21">
        <v>45329</v>
      </c>
      <c r="E29" s="21">
        <v>45461</v>
      </c>
      <c r="F29" t="s">
        <v>32</v>
      </c>
      <c r="G29" s="26">
        <v>660</v>
      </c>
      <c r="H29" s="27">
        <v>45080</v>
      </c>
      <c r="I29" t="s">
        <v>42</v>
      </c>
      <c r="J29" t="s">
        <v>53</v>
      </c>
    </row>
    <row r="30" spans="1:11" x14ac:dyDescent="0.3">
      <c r="A30" s="13">
        <v>25</v>
      </c>
      <c r="B30" s="13">
        <v>49</v>
      </c>
      <c r="C30" s="13">
        <v>16</v>
      </c>
      <c r="D30" s="21">
        <v>45313</v>
      </c>
      <c r="E30" s="21">
        <v>45357</v>
      </c>
      <c r="F30" t="s">
        <v>265</v>
      </c>
      <c r="G30" s="26">
        <v>319</v>
      </c>
      <c r="H30" s="27">
        <v>45049</v>
      </c>
      <c r="I30" t="s">
        <v>42</v>
      </c>
      <c r="J30" t="s">
        <v>53</v>
      </c>
    </row>
    <row r="31" spans="1:11" x14ac:dyDescent="0.3">
      <c r="A31" s="13">
        <v>26</v>
      </c>
      <c r="B31" s="13">
        <v>67</v>
      </c>
      <c r="C31" s="13">
        <v>15</v>
      </c>
      <c r="D31" s="21">
        <v>45345</v>
      </c>
      <c r="E31" s="21">
        <v>45451</v>
      </c>
      <c r="F31" t="s">
        <v>32</v>
      </c>
      <c r="G31" s="26">
        <v>599</v>
      </c>
      <c r="H31" s="27">
        <v>45084</v>
      </c>
      <c r="I31" t="s">
        <v>42</v>
      </c>
      <c r="J31" t="s">
        <v>53</v>
      </c>
    </row>
    <row r="32" spans="1:11" x14ac:dyDescent="0.3">
      <c r="A32" s="13">
        <v>27</v>
      </c>
      <c r="B32" s="13">
        <v>29</v>
      </c>
      <c r="C32" s="13">
        <v>13</v>
      </c>
      <c r="D32" s="21">
        <v>45309</v>
      </c>
      <c r="E32" s="21">
        <v>45450</v>
      </c>
      <c r="F32" t="s">
        <v>265</v>
      </c>
      <c r="G32" s="26">
        <v>180</v>
      </c>
      <c r="H32" s="27">
        <v>44988</v>
      </c>
      <c r="I32" t="s">
        <v>42</v>
      </c>
      <c r="J32" t="s">
        <v>53</v>
      </c>
    </row>
    <row r="33" spans="1:10" x14ac:dyDescent="0.3">
      <c r="A33" s="13">
        <v>28</v>
      </c>
      <c r="B33" s="13">
        <v>49</v>
      </c>
      <c r="C33" s="13">
        <v>4</v>
      </c>
      <c r="D33" s="21">
        <v>45211</v>
      </c>
      <c r="E33" s="21">
        <v>45370</v>
      </c>
      <c r="F33" t="s">
        <v>32</v>
      </c>
      <c r="G33" s="26">
        <v>55</v>
      </c>
      <c r="H33" s="27">
        <v>44937</v>
      </c>
      <c r="I33" t="s">
        <v>42</v>
      </c>
      <c r="J33" t="s">
        <v>53</v>
      </c>
    </row>
    <row r="34" spans="1:10" x14ac:dyDescent="0.3">
      <c r="A34" s="13">
        <v>29</v>
      </c>
      <c r="B34" s="13">
        <v>22</v>
      </c>
      <c r="C34" s="13">
        <v>10</v>
      </c>
      <c r="D34" s="21">
        <v>45284</v>
      </c>
      <c r="E34" s="21">
        <v>45396</v>
      </c>
      <c r="F34" t="s">
        <v>265</v>
      </c>
      <c r="G34" s="26">
        <v>69</v>
      </c>
      <c r="H34" s="27">
        <v>44987</v>
      </c>
      <c r="I34" t="s">
        <v>42</v>
      </c>
      <c r="J34" t="s">
        <v>53</v>
      </c>
    </row>
    <row r="35" spans="1:10" x14ac:dyDescent="0.3">
      <c r="A35" s="13">
        <v>30</v>
      </c>
      <c r="B35" s="13">
        <v>42</v>
      </c>
      <c r="C35" s="13">
        <v>15</v>
      </c>
      <c r="D35" s="21">
        <v>45342</v>
      </c>
      <c r="E35" s="21">
        <v>45426</v>
      </c>
      <c r="F35" t="s">
        <v>32</v>
      </c>
      <c r="G35" s="26">
        <v>107</v>
      </c>
      <c r="H35" s="27">
        <v>45039</v>
      </c>
      <c r="I35" t="s">
        <v>42</v>
      </c>
      <c r="J35" t="s">
        <v>53</v>
      </c>
    </row>
    <row r="36" spans="1:10" x14ac:dyDescent="0.3">
      <c r="A36" s="13">
        <v>31</v>
      </c>
      <c r="B36" s="13">
        <v>78</v>
      </c>
      <c r="C36" s="13">
        <v>14</v>
      </c>
      <c r="D36" s="21">
        <v>45211</v>
      </c>
      <c r="E36" s="21">
        <v>45452</v>
      </c>
      <c r="F36" t="s">
        <v>265</v>
      </c>
      <c r="G36" s="26">
        <v>597</v>
      </c>
      <c r="H36" s="27">
        <v>45135</v>
      </c>
      <c r="I36" t="s">
        <v>42</v>
      </c>
      <c r="J36" t="s">
        <v>53</v>
      </c>
    </row>
    <row r="37" spans="1:10" x14ac:dyDescent="0.3">
      <c r="A37" s="13">
        <v>32</v>
      </c>
      <c r="B37" s="13">
        <v>42</v>
      </c>
      <c r="C37" s="13">
        <v>15</v>
      </c>
      <c r="D37" s="21">
        <v>45209</v>
      </c>
      <c r="E37" s="21">
        <v>45412</v>
      </c>
      <c r="F37" t="s">
        <v>32</v>
      </c>
      <c r="G37" s="26">
        <v>248</v>
      </c>
      <c r="H37" s="27">
        <v>44979</v>
      </c>
      <c r="I37" t="s">
        <v>42</v>
      </c>
      <c r="J37" t="s">
        <v>53</v>
      </c>
    </row>
    <row r="38" spans="1:10" x14ac:dyDescent="0.3">
      <c r="A38" s="13">
        <v>33</v>
      </c>
      <c r="B38" s="13">
        <v>20</v>
      </c>
      <c r="C38" s="13">
        <v>7</v>
      </c>
      <c r="D38" s="21">
        <v>45285</v>
      </c>
      <c r="E38" s="21">
        <v>45445</v>
      </c>
      <c r="F38" t="s">
        <v>32</v>
      </c>
      <c r="G38" s="26">
        <v>539</v>
      </c>
      <c r="H38" s="27">
        <v>45084</v>
      </c>
      <c r="I38" t="s">
        <v>42</v>
      </c>
      <c r="J38" t="s">
        <v>53</v>
      </c>
    </row>
    <row r="39" spans="1:10" x14ac:dyDescent="0.3">
      <c r="A39" s="13">
        <v>34</v>
      </c>
      <c r="B39" s="13">
        <v>97</v>
      </c>
      <c r="C39" s="13">
        <v>6</v>
      </c>
      <c r="D39" s="21">
        <v>45277</v>
      </c>
      <c r="E39" s="21">
        <v>45397</v>
      </c>
      <c r="F39" t="s">
        <v>32</v>
      </c>
      <c r="G39" s="26">
        <v>148</v>
      </c>
      <c r="H39" s="27">
        <v>44989</v>
      </c>
      <c r="I39" t="s">
        <v>42</v>
      </c>
      <c r="J39" t="s">
        <v>53</v>
      </c>
    </row>
    <row r="40" spans="1:10" x14ac:dyDescent="0.3">
      <c r="A40" s="13">
        <v>35</v>
      </c>
      <c r="B40" s="13">
        <v>85</v>
      </c>
      <c r="C40" s="13">
        <v>10</v>
      </c>
      <c r="D40" s="21">
        <v>45259</v>
      </c>
      <c r="E40" s="21">
        <v>45392</v>
      </c>
      <c r="F40" t="s">
        <v>265</v>
      </c>
      <c r="G40" s="26">
        <v>247</v>
      </c>
      <c r="H40" s="27">
        <v>45000</v>
      </c>
      <c r="I40" t="s">
        <v>42</v>
      </c>
      <c r="J40" t="s">
        <v>53</v>
      </c>
    </row>
    <row r="41" spans="1:10" x14ac:dyDescent="0.3">
      <c r="A41" s="13">
        <v>36</v>
      </c>
      <c r="B41" s="13">
        <v>45</v>
      </c>
      <c r="C41" s="13">
        <v>9</v>
      </c>
      <c r="D41" s="21">
        <v>45326</v>
      </c>
      <c r="E41" s="21">
        <v>45441</v>
      </c>
      <c r="F41" t="s">
        <v>265</v>
      </c>
      <c r="G41" s="26">
        <v>687</v>
      </c>
      <c r="H41" s="27">
        <v>44970</v>
      </c>
      <c r="I41" t="s">
        <v>42</v>
      </c>
      <c r="J41" t="s">
        <v>53</v>
      </c>
    </row>
    <row r="42" spans="1:10" x14ac:dyDescent="0.3">
      <c r="A42" s="13">
        <v>37</v>
      </c>
      <c r="B42" s="13">
        <v>24</v>
      </c>
      <c r="C42" s="13">
        <v>4</v>
      </c>
      <c r="D42" s="21">
        <v>45317</v>
      </c>
      <c r="E42" s="21">
        <v>45453</v>
      </c>
      <c r="F42" t="s">
        <v>265</v>
      </c>
      <c r="G42" s="26">
        <v>159</v>
      </c>
      <c r="H42" s="27">
        <v>45026</v>
      </c>
      <c r="I42" t="s">
        <v>42</v>
      </c>
      <c r="J42" t="s">
        <v>53</v>
      </c>
    </row>
    <row r="43" spans="1:10" x14ac:dyDescent="0.3">
      <c r="A43" s="13">
        <v>38</v>
      </c>
      <c r="B43" s="13">
        <v>6</v>
      </c>
      <c r="C43" s="13">
        <v>10</v>
      </c>
      <c r="D43" s="21">
        <v>45315</v>
      </c>
      <c r="E43" s="21">
        <v>45423</v>
      </c>
      <c r="F43" t="s">
        <v>32</v>
      </c>
      <c r="G43" s="26">
        <v>256</v>
      </c>
      <c r="H43" s="27">
        <v>45106</v>
      </c>
      <c r="I43" t="s">
        <v>42</v>
      </c>
      <c r="J43" t="s">
        <v>53</v>
      </c>
    </row>
    <row r="44" spans="1:10" x14ac:dyDescent="0.3">
      <c r="A44" s="13">
        <v>39</v>
      </c>
      <c r="B44" s="13">
        <v>52</v>
      </c>
      <c r="C44" s="13">
        <v>15</v>
      </c>
      <c r="D44" s="21">
        <v>45318</v>
      </c>
      <c r="E44" s="21">
        <v>45419</v>
      </c>
      <c r="F44" t="s">
        <v>32</v>
      </c>
      <c r="G44" s="26">
        <v>154</v>
      </c>
      <c r="H44" s="27">
        <v>45075</v>
      </c>
      <c r="I44" t="s">
        <v>42</v>
      </c>
      <c r="J44" t="s">
        <v>53</v>
      </c>
    </row>
    <row r="45" spans="1:10" x14ac:dyDescent="0.3">
      <c r="A45" s="13">
        <v>40</v>
      </c>
      <c r="B45" s="13">
        <v>42</v>
      </c>
      <c r="C45" s="13">
        <v>11</v>
      </c>
      <c r="D45" s="21">
        <v>45272</v>
      </c>
      <c r="E45" s="21">
        <v>45391</v>
      </c>
      <c r="F45" t="s">
        <v>32</v>
      </c>
      <c r="G45" s="26">
        <v>478</v>
      </c>
      <c r="H45" s="27">
        <v>44985</v>
      </c>
      <c r="I45" t="s">
        <v>42</v>
      </c>
      <c r="J45" t="s">
        <v>53</v>
      </c>
    </row>
    <row r="46" spans="1:10" x14ac:dyDescent="0.3">
      <c r="A46" s="13">
        <v>41</v>
      </c>
      <c r="B46" s="13">
        <v>5</v>
      </c>
      <c r="C46" s="13">
        <v>4</v>
      </c>
      <c r="D46" s="21">
        <v>45283</v>
      </c>
      <c r="E46" s="21">
        <v>45356</v>
      </c>
      <c r="F46" t="s">
        <v>32</v>
      </c>
      <c r="G46" s="26">
        <v>471</v>
      </c>
      <c r="H46" s="27">
        <v>45123</v>
      </c>
      <c r="I46" t="s">
        <v>42</v>
      </c>
      <c r="J46" t="s">
        <v>53</v>
      </c>
    </row>
    <row r="47" spans="1:10" x14ac:dyDescent="0.3">
      <c r="A47" s="13">
        <v>42</v>
      </c>
      <c r="B47" s="13">
        <v>69</v>
      </c>
      <c r="C47" s="13">
        <v>8</v>
      </c>
      <c r="D47" s="21">
        <v>45209</v>
      </c>
      <c r="E47" s="21">
        <v>45426</v>
      </c>
      <c r="F47" t="s">
        <v>32</v>
      </c>
      <c r="G47" s="26">
        <v>701</v>
      </c>
      <c r="H47" s="27">
        <v>45101</v>
      </c>
      <c r="I47" t="s">
        <v>42</v>
      </c>
      <c r="J47" t="s">
        <v>53</v>
      </c>
    </row>
    <row r="48" spans="1:10" x14ac:dyDescent="0.3">
      <c r="A48" s="13">
        <v>43</v>
      </c>
      <c r="B48" s="13">
        <v>5</v>
      </c>
      <c r="C48" s="13">
        <v>14</v>
      </c>
      <c r="D48" s="21">
        <v>45333</v>
      </c>
      <c r="E48" s="21">
        <v>45404</v>
      </c>
      <c r="F48" t="s">
        <v>32</v>
      </c>
      <c r="G48" s="26">
        <v>458</v>
      </c>
      <c r="H48" s="27">
        <v>45092</v>
      </c>
      <c r="I48" t="s">
        <v>42</v>
      </c>
      <c r="J48" t="s">
        <v>53</v>
      </c>
    </row>
    <row r="49" spans="1:11" x14ac:dyDescent="0.3">
      <c r="A49" s="13">
        <v>44</v>
      </c>
      <c r="B49" s="13">
        <v>5</v>
      </c>
      <c r="C49" s="13">
        <v>15</v>
      </c>
      <c r="D49" s="21">
        <v>45348</v>
      </c>
      <c r="E49" s="21">
        <v>45378</v>
      </c>
      <c r="F49" t="s">
        <v>265</v>
      </c>
      <c r="G49" s="26">
        <v>448</v>
      </c>
      <c r="H49" s="27">
        <v>45097</v>
      </c>
      <c r="I49" t="s">
        <v>42</v>
      </c>
      <c r="J49" t="s">
        <v>53</v>
      </c>
    </row>
    <row r="50" spans="1:11" x14ac:dyDescent="0.3">
      <c r="A50" s="13">
        <v>45</v>
      </c>
      <c r="B50" s="13">
        <v>28</v>
      </c>
      <c r="C50" s="13">
        <v>11</v>
      </c>
      <c r="D50" s="21">
        <v>45349</v>
      </c>
      <c r="E50" s="21">
        <v>45429</v>
      </c>
      <c r="F50" t="s">
        <v>32</v>
      </c>
      <c r="G50" s="26">
        <v>210</v>
      </c>
      <c r="H50" s="27">
        <v>45097</v>
      </c>
      <c r="I50" t="s">
        <v>42</v>
      </c>
      <c r="J50" t="s">
        <v>53</v>
      </c>
    </row>
    <row r="51" spans="1:11" x14ac:dyDescent="0.3">
      <c r="A51" s="13">
        <v>46</v>
      </c>
      <c r="B51" s="13">
        <v>76</v>
      </c>
      <c r="C51" s="13">
        <v>8</v>
      </c>
      <c r="D51" s="21">
        <v>45226</v>
      </c>
      <c r="E51" s="21">
        <v>45410</v>
      </c>
      <c r="F51" t="s">
        <v>32</v>
      </c>
      <c r="G51" s="26">
        <v>595</v>
      </c>
      <c r="H51" s="27">
        <v>45137</v>
      </c>
      <c r="I51" t="s">
        <v>42</v>
      </c>
      <c r="J51" t="s">
        <v>53</v>
      </c>
    </row>
    <row r="52" spans="1:11" x14ac:dyDescent="0.3">
      <c r="A52" s="13">
        <v>47</v>
      </c>
      <c r="B52" s="13">
        <v>64</v>
      </c>
      <c r="C52" s="13">
        <v>3</v>
      </c>
      <c r="D52" s="21">
        <v>45276</v>
      </c>
      <c r="E52" s="21">
        <v>45353</v>
      </c>
      <c r="F52" t="s">
        <v>265</v>
      </c>
      <c r="G52" s="26">
        <v>221</v>
      </c>
      <c r="H52" s="27">
        <v>45110</v>
      </c>
      <c r="I52" t="s">
        <v>42</v>
      </c>
      <c r="J52" t="s">
        <v>53</v>
      </c>
    </row>
    <row r="53" spans="1:11" x14ac:dyDescent="0.3">
      <c r="A53" s="13">
        <v>48</v>
      </c>
      <c r="B53" s="13">
        <v>71</v>
      </c>
      <c r="C53" s="13">
        <v>2</v>
      </c>
      <c r="D53" s="21">
        <v>45332</v>
      </c>
      <c r="E53" s="21">
        <v>45415</v>
      </c>
      <c r="F53" t="s">
        <v>265</v>
      </c>
      <c r="G53" s="26">
        <v>599</v>
      </c>
      <c r="H53" s="27">
        <v>45094</v>
      </c>
      <c r="I53" t="s">
        <v>42</v>
      </c>
      <c r="J53" t="s">
        <v>53</v>
      </c>
    </row>
    <row r="54" spans="1:11" x14ac:dyDescent="0.3">
      <c r="A54" s="13">
        <v>49</v>
      </c>
      <c r="B54" s="13">
        <v>12</v>
      </c>
      <c r="C54" s="13">
        <v>8</v>
      </c>
      <c r="D54" s="21">
        <v>45213</v>
      </c>
      <c r="E54" s="21">
        <v>45407</v>
      </c>
      <c r="F54" t="s">
        <v>32</v>
      </c>
      <c r="G54" s="26">
        <v>207</v>
      </c>
      <c r="H54" s="27">
        <v>44962</v>
      </c>
      <c r="I54" t="s">
        <v>42</v>
      </c>
      <c r="J54" t="s">
        <v>53</v>
      </c>
    </row>
    <row r="55" spans="1:11" x14ac:dyDescent="0.3">
      <c r="A55" s="13">
        <v>50</v>
      </c>
      <c r="B55" s="13">
        <v>40</v>
      </c>
      <c r="C55" s="13">
        <v>6</v>
      </c>
      <c r="D55" s="21">
        <v>45301</v>
      </c>
      <c r="E55" s="21">
        <v>45393</v>
      </c>
      <c r="F55" t="s">
        <v>32</v>
      </c>
      <c r="G55" s="26">
        <v>247</v>
      </c>
      <c r="H55" s="27">
        <v>44987</v>
      </c>
      <c r="I55" t="s">
        <v>282</v>
      </c>
      <c r="J55" t="s">
        <v>54</v>
      </c>
      <c r="K55" s="20">
        <v>45155</v>
      </c>
    </row>
    <row r="56" spans="1:11" x14ac:dyDescent="0.3">
      <c r="A56" s="13">
        <v>51</v>
      </c>
      <c r="B56" s="13">
        <v>79</v>
      </c>
      <c r="C56" s="13">
        <v>15</v>
      </c>
      <c r="D56" s="21">
        <v>45244</v>
      </c>
      <c r="E56" s="21">
        <v>45432</v>
      </c>
      <c r="F56" t="s">
        <v>32</v>
      </c>
      <c r="G56" s="26">
        <v>110</v>
      </c>
      <c r="H56" s="27">
        <v>45107</v>
      </c>
      <c r="I56" t="s">
        <v>42</v>
      </c>
      <c r="J56" t="s">
        <v>53</v>
      </c>
    </row>
    <row r="57" spans="1:11" x14ac:dyDescent="0.3">
      <c r="A57" s="13">
        <v>52</v>
      </c>
      <c r="B57" s="13">
        <v>67</v>
      </c>
      <c r="C57" s="13">
        <v>15</v>
      </c>
      <c r="D57" s="21">
        <v>45221</v>
      </c>
      <c r="E57" s="21">
        <v>45443</v>
      </c>
      <c r="F57" t="s">
        <v>265</v>
      </c>
      <c r="G57" s="26">
        <v>544</v>
      </c>
      <c r="H57" s="27">
        <v>45062</v>
      </c>
      <c r="I57" t="s">
        <v>42</v>
      </c>
      <c r="J57" t="s">
        <v>53</v>
      </c>
    </row>
    <row r="58" spans="1:11" x14ac:dyDescent="0.3">
      <c r="A58" s="13">
        <v>53</v>
      </c>
      <c r="B58" s="13">
        <v>26</v>
      </c>
      <c r="C58" s="13">
        <v>1</v>
      </c>
      <c r="D58" s="21">
        <v>45264</v>
      </c>
      <c r="E58" s="21">
        <v>45454</v>
      </c>
      <c r="F58" t="s">
        <v>32</v>
      </c>
      <c r="G58" s="26">
        <v>634</v>
      </c>
      <c r="H58" s="27">
        <v>45056</v>
      </c>
      <c r="I58" t="s">
        <v>42</v>
      </c>
      <c r="J58" t="s">
        <v>53</v>
      </c>
    </row>
    <row r="59" spans="1:11" x14ac:dyDescent="0.3">
      <c r="A59" s="13">
        <v>54</v>
      </c>
      <c r="B59" s="13">
        <v>4</v>
      </c>
      <c r="C59" s="13">
        <v>14</v>
      </c>
      <c r="D59" s="21">
        <v>45216</v>
      </c>
      <c r="E59" s="21">
        <v>45356</v>
      </c>
      <c r="F59" t="s">
        <v>32</v>
      </c>
      <c r="G59" s="26">
        <v>237</v>
      </c>
      <c r="H59" s="27">
        <v>44947</v>
      </c>
      <c r="I59" t="s">
        <v>42</v>
      </c>
      <c r="J59" t="s">
        <v>53</v>
      </c>
    </row>
    <row r="60" spans="1:11" x14ac:dyDescent="0.3">
      <c r="A60" s="13">
        <v>55</v>
      </c>
      <c r="B60" s="13">
        <v>14</v>
      </c>
      <c r="C60" s="13">
        <v>13</v>
      </c>
      <c r="D60" s="21">
        <v>45275</v>
      </c>
      <c r="E60" s="21">
        <v>45431</v>
      </c>
      <c r="F60" t="s">
        <v>32</v>
      </c>
      <c r="G60" s="26">
        <v>671</v>
      </c>
      <c r="H60" s="27">
        <v>45126</v>
      </c>
      <c r="I60" t="s">
        <v>42</v>
      </c>
      <c r="J60" t="s">
        <v>53</v>
      </c>
    </row>
    <row r="61" spans="1:11" x14ac:dyDescent="0.3">
      <c r="A61" s="13">
        <v>56</v>
      </c>
      <c r="B61" s="13">
        <v>66</v>
      </c>
      <c r="C61" s="13">
        <v>14</v>
      </c>
      <c r="D61" s="21">
        <v>45334</v>
      </c>
      <c r="E61" s="21">
        <v>45461</v>
      </c>
      <c r="F61" t="s">
        <v>32</v>
      </c>
      <c r="G61" s="26">
        <v>663</v>
      </c>
      <c r="H61" s="27">
        <v>44981</v>
      </c>
      <c r="I61" t="s">
        <v>42</v>
      </c>
      <c r="J61" t="s">
        <v>53</v>
      </c>
    </row>
    <row r="62" spans="1:11" x14ac:dyDescent="0.3">
      <c r="A62" s="13">
        <v>57</v>
      </c>
      <c r="B62" s="13">
        <v>5</v>
      </c>
      <c r="C62" s="13">
        <v>1</v>
      </c>
      <c r="D62" s="21">
        <v>45286</v>
      </c>
      <c r="E62" s="21">
        <v>45380</v>
      </c>
      <c r="F62" t="s">
        <v>265</v>
      </c>
      <c r="G62" s="26">
        <v>94</v>
      </c>
      <c r="H62" s="27">
        <v>45087</v>
      </c>
      <c r="I62" t="s">
        <v>42</v>
      </c>
      <c r="J62" t="s">
        <v>53</v>
      </c>
    </row>
    <row r="63" spans="1:11" x14ac:dyDescent="0.3">
      <c r="A63" s="13">
        <v>58</v>
      </c>
      <c r="B63" s="13">
        <v>95</v>
      </c>
      <c r="C63" s="13">
        <v>4</v>
      </c>
      <c r="D63" s="21">
        <v>45240</v>
      </c>
      <c r="E63" s="21">
        <v>45396</v>
      </c>
      <c r="F63" t="s">
        <v>32</v>
      </c>
      <c r="G63" s="26">
        <v>475</v>
      </c>
      <c r="H63" s="27">
        <v>45071</v>
      </c>
      <c r="I63" t="s">
        <v>42</v>
      </c>
      <c r="J63" t="s">
        <v>53</v>
      </c>
    </row>
    <row r="64" spans="1:11" x14ac:dyDescent="0.3">
      <c r="A64" s="13">
        <v>59</v>
      </c>
      <c r="B64" s="13">
        <v>59</v>
      </c>
      <c r="C64" s="13">
        <v>7</v>
      </c>
      <c r="D64" s="21">
        <v>45340</v>
      </c>
      <c r="E64" s="21">
        <v>45372</v>
      </c>
      <c r="F64" t="s">
        <v>32</v>
      </c>
      <c r="G64" s="26">
        <v>650</v>
      </c>
      <c r="H64" s="27">
        <v>45033</v>
      </c>
      <c r="I64" t="s">
        <v>42</v>
      </c>
      <c r="J64" t="s">
        <v>53</v>
      </c>
    </row>
    <row r="65" spans="1:11" x14ac:dyDescent="0.3">
      <c r="A65" s="13">
        <v>60</v>
      </c>
      <c r="B65" s="13">
        <v>94</v>
      </c>
      <c r="C65" s="13">
        <v>7</v>
      </c>
      <c r="D65" s="21">
        <v>45268</v>
      </c>
      <c r="E65" s="21">
        <v>45451</v>
      </c>
      <c r="F65" t="s">
        <v>265</v>
      </c>
      <c r="G65" s="26">
        <v>56</v>
      </c>
      <c r="H65" s="27">
        <v>44992</v>
      </c>
      <c r="I65" t="s">
        <v>42</v>
      </c>
      <c r="J65" t="s">
        <v>53</v>
      </c>
    </row>
    <row r="66" spans="1:11" x14ac:dyDescent="0.3">
      <c r="A66" s="13">
        <v>61</v>
      </c>
      <c r="B66" s="13">
        <v>36</v>
      </c>
      <c r="C66" s="13">
        <v>5</v>
      </c>
      <c r="D66" s="21">
        <v>45219</v>
      </c>
      <c r="E66" s="21">
        <v>45443</v>
      </c>
      <c r="F66" t="s">
        <v>32</v>
      </c>
      <c r="G66" s="26">
        <v>424</v>
      </c>
      <c r="H66" s="27">
        <v>45059</v>
      </c>
      <c r="I66" t="s">
        <v>42</v>
      </c>
      <c r="J66" t="s">
        <v>53</v>
      </c>
    </row>
    <row r="67" spans="1:11" x14ac:dyDescent="0.3">
      <c r="A67" s="13">
        <v>62</v>
      </c>
      <c r="B67" s="13">
        <v>87</v>
      </c>
      <c r="C67" s="13">
        <v>13</v>
      </c>
      <c r="D67" s="21">
        <v>45246</v>
      </c>
      <c r="E67" s="21">
        <v>45406</v>
      </c>
      <c r="F67" t="s">
        <v>32</v>
      </c>
      <c r="G67" s="26">
        <v>482</v>
      </c>
      <c r="H67" s="27">
        <v>45108</v>
      </c>
      <c r="I67" t="s">
        <v>42</v>
      </c>
      <c r="J67" t="s">
        <v>53</v>
      </c>
    </row>
    <row r="68" spans="1:11" x14ac:dyDescent="0.3">
      <c r="A68" s="13">
        <v>63</v>
      </c>
      <c r="B68" s="13">
        <v>96</v>
      </c>
      <c r="C68" s="13">
        <v>3</v>
      </c>
      <c r="D68" s="21">
        <v>45319</v>
      </c>
      <c r="E68" s="21">
        <v>45411</v>
      </c>
      <c r="F68" t="s">
        <v>32</v>
      </c>
      <c r="G68" s="26">
        <v>495</v>
      </c>
      <c r="H68" s="27">
        <v>44935</v>
      </c>
      <c r="I68" t="s">
        <v>59</v>
      </c>
      <c r="J68" t="s">
        <v>53</v>
      </c>
      <c r="K68" s="20">
        <v>45156</v>
      </c>
    </row>
    <row r="69" spans="1:11" x14ac:dyDescent="0.3">
      <c r="A69" s="13">
        <v>64</v>
      </c>
      <c r="B69" s="13">
        <v>1</v>
      </c>
      <c r="C69" s="13">
        <v>3</v>
      </c>
      <c r="D69" s="21">
        <v>45267</v>
      </c>
      <c r="E69" s="21">
        <v>45436</v>
      </c>
      <c r="F69" t="s">
        <v>32</v>
      </c>
      <c r="G69" s="26">
        <v>310</v>
      </c>
      <c r="H69" s="27">
        <v>45064</v>
      </c>
      <c r="I69" t="s">
        <v>42</v>
      </c>
      <c r="J69" t="s">
        <v>53</v>
      </c>
    </row>
    <row r="70" spans="1:11" x14ac:dyDescent="0.3">
      <c r="A70" s="13">
        <v>65</v>
      </c>
      <c r="B70" s="13">
        <v>46</v>
      </c>
      <c r="C70" s="13">
        <v>6</v>
      </c>
      <c r="D70" s="21">
        <v>45280</v>
      </c>
      <c r="E70" s="21">
        <v>45444</v>
      </c>
      <c r="F70" t="s">
        <v>32</v>
      </c>
      <c r="G70" s="26">
        <v>711</v>
      </c>
      <c r="H70" s="27">
        <v>45126</v>
      </c>
      <c r="I70" t="s">
        <v>42</v>
      </c>
      <c r="J70" t="s">
        <v>53</v>
      </c>
    </row>
    <row r="71" spans="1:11" x14ac:dyDescent="0.3">
      <c r="A71" s="13">
        <v>66</v>
      </c>
      <c r="B71" s="13">
        <v>83</v>
      </c>
      <c r="C71" s="13">
        <v>13</v>
      </c>
      <c r="D71" s="21">
        <v>45223</v>
      </c>
      <c r="E71" s="21">
        <v>45353</v>
      </c>
      <c r="F71" t="s">
        <v>265</v>
      </c>
      <c r="G71" s="26">
        <v>622</v>
      </c>
      <c r="H71" s="27">
        <v>44943</v>
      </c>
      <c r="I71" t="s">
        <v>50</v>
      </c>
      <c r="J71" t="s">
        <v>53</v>
      </c>
      <c r="K71" s="20">
        <v>45155</v>
      </c>
    </row>
    <row r="72" spans="1:11" x14ac:dyDescent="0.3">
      <c r="A72" s="13">
        <v>67</v>
      </c>
      <c r="B72" s="13">
        <v>84</v>
      </c>
      <c r="C72" s="13">
        <v>13</v>
      </c>
      <c r="D72" s="21">
        <v>45306</v>
      </c>
      <c r="E72" s="21">
        <v>45362</v>
      </c>
      <c r="F72" t="s">
        <v>32</v>
      </c>
      <c r="G72" s="26">
        <v>91</v>
      </c>
      <c r="H72" s="27">
        <v>45144</v>
      </c>
      <c r="I72" t="s">
        <v>42</v>
      </c>
      <c r="J72" t="s">
        <v>53</v>
      </c>
    </row>
    <row r="73" spans="1:11" x14ac:dyDescent="0.3">
      <c r="A73" s="13">
        <v>68</v>
      </c>
      <c r="B73" s="13">
        <v>38</v>
      </c>
      <c r="C73" s="13">
        <v>16</v>
      </c>
      <c r="D73" s="21">
        <v>45321</v>
      </c>
      <c r="E73" s="21">
        <v>45406</v>
      </c>
      <c r="F73" t="s">
        <v>32</v>
      </c>
      <c r="G73" s="26">
        <v>72</v>
      </c>
      <c r="H73" s="27">
        <v>45088</v>
      </c>
      <c r="I73" t="s">
        <v>42</v>
      </c>
      <c r="J73" t="s">
        <v>53</v>
      </c>
    </row>
    <row r="74" spans="1:11" x14ac:dyDescent="0.3">
      <c r="A74" s="13">
        <v>69</v>
      </c>
      <c r="B74" s="13">
        <v>12</v>
      </c>
      <c r="C74" s="13">
        <v>11</v>
      </c>
      <c r="D74" s="21">
        <v>45321</v>
      </c>
      <c r="E74" s="21">
        <v>45390</v>
      </c>
      <c r="F74" t="s">
        <v>32</v>
      </c>
      <c r="G74" s="26">
        <v>526</v>
      </c>
      <c r="H74" s="27">
        <v>45145</v>
      </c>
      <c r="I74" t="s">
        <v>42</v>
      </c>
      <c r="J74" t="s">
        <v>53</v>
      </c>
    </row>
    <row r="75" spans="1:11" x14ac:dyDescent="0.3">
      <c r="A75" s="13">
        <v>70</v>
      </c>
      <c r="B75" s="13">
        <v>39</v>
      </c>
      <c r="C75" s="13">
        <v>11</v>
      </c>
      <c r="D75" s="21">
        <v>45266</v>
      </c>
      <c r="E75" s="21">
        <v>45426</v>
      </c>
      <c r="F75" t="s">
        <v>265</v>
      </c>
      <c r="G75" s="26">
        <v>540</v>
      </c>
      <c r="H75" s="27">
        <v>45048</v>
      </c>
      <c r="I75" t="s">
        <v>42</v>
      </c>
      <c r="J75" t="s">
        <v>53</v>
      </c>
    </row>
    <row r="76" spans="1:11" x14ac:dyDescent="0.3">
      <c r="A76" s="13">
        <v>71</v>
      </c>
      <c r="B76" s="13">
        <v>86</v>
      </c>
      <c r="C76" s="13">
        <v>12</v>
      </c>
      <c r="D76" s="21">
        <v>45230</v>
      </c>
      <c r="E76" s="21">
        <v>45434</v>
      </c>
      <c r="F76" t="s">
        <v>32</v>
      </c>
      <c r="G76" s="26">
        <v>334</v>
      </c>
      <c r="H76" s="27">
        <v>44974</v>
      </c>
      <c r="I76" t="s">
        <v>42</v>
      </c>
      <c r="J76" t="s">
        <v>53</v>
      </c>
    </row>
    <row r="77" spans="1:11" x14ac:dyDescent="0.3">
      <c r="A77" s="13">
        <v>72</v>
      </c>
      <c r="B77" s="13">
        <v>86</v>
      </c>
      <c r="C77" s="13">
        <v>8</v>
      </c>
      <c r="D77" s="21">
        <v>45245</v>
      </c>
      <c r="E77" s="21">
        <v>45457</v>
      </c>
      <c r="F77" t="s">
        <v>32</v>
      </c>
      <c r="G77" s="26">
        <v>263</v>
      </c>
      <c r="H77" s="27">
        <v>44980</v>
      </c>
      <c r="I77" t="s">
        <v>42</v>
      </c>
      <c r="J77" t="s">
        <v>53</v>
      </c>
    </row>
    <row r="78" spans="1:11" x14ac:dyDescent="0.3">
      <c r="A78" s="13">
        <v>73</v>
      </c>
      <c r="B78" s="13">
        <v>6</v>
      </c>
      <c r="C78" s="13">
        <v>5</v>
      </c>
      <c r="D78" s="21">
        <v>45337</v>
      </c>
      <c r="E78" s="21">
        <v>45442</v>
      </c>
      <c r="F78" t="s">
        <v>32</v>
      </c>
      <c r="G78" s="26">
        <v>410</v>
      </c>
      <c r="H78" s="27">
        <v>44997</v>
      </c>
      <c r="I78" t="s">
        <v>42</v>
      </c>
      <c r="J78" t="s">
        <v>53</v>
      </c>
    </row>
    <row r="79" spans="1:11" x14ac:dyDescent="0.3">
      <c r="A79" s="13">
        <v>74</v>
      </c>
      <c r="B79" s="13">
        <v>83</v>
      </c>
      <c r="C79" s="13">
        <v>5</v>
      </c>
      <c r="D79" s="21">
        <v>45333</v>
      </c>
      <c r="E79" s="21">
        <v>45407</v>
      </c>
      <c r="F79" t="s">
        <v>32</v>
      </c>
      <c r="G79" s="26">
        <v>635</v>
      </c>
      <c r="H79" s="27">
        <v>45071</v>
      </c>
      <c r="I79" t="s">
        <v>42</v>
      </c>
      <c r="J79" t="s">
        <v>53</v>
      </c>
    </row>
    <row r="80" spans="1:11" x14ac:dyDescent="0.3">
      <c r="A80" s="13">
        <v>75</v>
      </c>
      <c r="B80" s="13">
        <v>22</v>
      </c>
      <c r="C80" s="13">
        <v>16</v>
      </c>
      <c r="D80" s="21">
        <v>45252</v>
      </c>
      <c r="E80" s="21">
        <v>45372</v>
      </c>
      <c r="F80" t="s">
        <v>265</v>
      </c>
      <c r="G80" s="26">
        <v>726</v>
      </c>
      <c r="H80" s="27">
        <v>44934</v>
      </c>
      <c r="I80" t="s">
        <v>42</v>
      </c>
      <c r="J80" t="s">
        <v>53</v>
      </c>
    </row>
    <row r="81" spans="1:11" x14ac:dyDescent="0.3">
      <c r="A81" s="13">
        <v>76</v>
      </c>
      <c r="B81" s="13">
        <v>19</v>
      </c>
      <c r="C81" s="13">
        <v>9</v>
      </c>
      <c r="D81" s="21">
        <v>45250</v>
      </c>
      <c r="E81" s="21">
        <v>45424</v>
      </c>
      <c r="F81" t="s">
        <v>265</v>
      </c>
      <c r="G81" s="26">
        <v>431</v>
      </c>
      <c r="H81" s="27">
        <v>45130</v>
      </c>
      <c r="I81" t="s">
        <v>42</v>
      </c>
      <c r="J81" t="s">
        <v>53</v>
      </c>
    </row>
    <row r="82" spans="1:11" x14ac:dyDescent="0.3">
      <c r="A82" s="13">
        <v>77</v>
      </c>
      <c r="B82" s="13">
        <v>71</v>
      </c>
      <c r="C82" s="13">
        <v>16</v>
      </c>
      <c r="D82" s="21">
        <v>45289</v>
      </c>
      <c r="E82" s="21">
        <v>45407</v>
      </c>
      <c r="F82" t="s">
        <v>32</v>
      </c>
      <c r="G82" s="26">
        <v>210</v>
      </c>
      <c r="H82" s="27">
        <v>45050</v>
      </c>
      <c r="I82" t="s">
        <v>42</v>
      </c>
      <c r="J82" t="s">
        <v>53</v>
      </c>
    </row>
    <row r="83" spans="1:11" x14ac:dyDescent="0.3">
      <c r="A83" s="13">
        <v>78</v>
      </c>
      <c r="B83" s="13">
        <v>30</v>
      </c>
      <c r="C83" s="13">
        <v>12</v>
      </c>
      <c r="D83" s="21">
        <v>45324</v>
      </c>
      <c r="E83" s="21">
        <v>45402</v>
      </c>
      <c r="F83" t="s">
        <v>32</v>
      </c>
      <c r="G83" s="26">
        <v>418</v>
      </c>
      <c r="H83" s="27">
        <v>45136</v>
      </c>
      <c r="I83" t="s">
        <v>42</v>
      </c>
      <c r="J83" t="s">
        <v>53</v>
      </c>
    </row>
    <row r="84" spans="1:11" x14ac:dyDescent="0.3">
      <c r="A84" s="13">
        <v>79</v>
      </c>
      <c r="B84" s="13">
        <v>76</v>
      </c>
      <c r="C84" s="13">
        <v>2</v>
      </c>
      <c r="D84" s="21">
        <v>45336</v>
      </c>
      <c r="E84" s="21">
        <v>45458</v>
      </c>
      <c r="F84" t="s">
        <v>265</v>
      </c>
      <c r="G84" s="26">
        <v>588</v>
      </c>
      <c r="H84" s="27">
        <v>45142</v>
      </c>
      <c r="I84" t="s">
        <v>42</v>
      </c>
      <c r="J84" t="s">
        <v>53</v>
      </c>
    </row>
    <row r="85" spans="1:11" x14ac:dyDescent="0.3">
      <c r="A85" s="13">
        <v>80</v>
      </c>
      <c r="B85" s="13">
        <v>67</v>
      </c>
      <c r="C85" s="13">
        <v>15</v>
      </c>
      <c r="D85" s="21">
        <v>45337</v>
      </c>
      <c r="E85" s="21">
        <v>45351</v>
      </c>
      <c r="F85" t="s">
        <v>265</v>
      </c>
      <c r="G85" s="26">
        <v>93</v>
      </c>
      <c r="H85" s="27">
        <v>45146</v>
      </c>
      <c r="I85" t="s">
        <v>282</v>
      </c>
      <c r="J85" t="s">
        <v>53</v>
      </c>
      <c r="K85" s="20">
        <v>45155</v>
      </c>
    </row>
    <row r="86" spans="1:11" x14ac:dyDescent="0.3">
      <c r="A86" s="13">
        <v>81</v>
      </c>
      <c r="B86" s="13">
        <v>32</v>
      </c>
      <c r="C86" s="13">
        <v>5</v>
      </c>
      <c r="D86" s="21">
        <v>45330</v>
      </c>
      <c r="E86" s="21">
        <v>45362</v>
      </c>
      <c r="F86" t="s">
        <v>32</v>
      </c>
      <c r="G86" s="26">
        <v>346</v>
      </c>
      <c r="H86" s="27">
        <v>45068</v>
      </c>
      <c r="I86" t="s">
        <v>42</v>
      </c>
      <c r="J86" t="s">
        <v>53</v>
      </c>
    </row>
    <row r="87" spans="1:11" x14ac:dyDescent="0.3">
      <c r="A87" s="13">
        <v>82</v>
      </c>
      <c r="B87" s="13">
        <v>85</v>
      </c>
      <c r="C87" s="13">
        <v>8</v>
      </c>
      <c r="D87" s="21">
        <v>45242</v>
      </c>
      <c r="E87" s="21">
        <v>45382</v>
      </c>
      <c r="F87" t="s">
        <v>265</v>
      </c>
      <c r="G87" s="26">
        <v>348</v>
      </c>
      <c r="H87" s="27">
        <v>44934</v>
      </c>
      <c r="I87" t="s">
        <v>42</v>
      </c>
      <c r="J87" t="s">
        <v>53</v>
      </c>
    </row>
    <row r="88" spans="1:11" x14ac:dyDescent="0.3">
      <c r="A88" s="13">
        <v>83</v>
      </c>
      <c r="B88" s="13">
        <v>73</v>
      </c>
      <c r="C88" s="13">
        <v>3</v>
      </c>
      <c r="D88" s="21">
        <v>45341</v>
      </c>
      <c r="E88" s="21">
        <v>45370</v>
      </c>
      <c r="F88" t="s">
        <v>32</v>
      </c>
      <c r="G88" s="26">
        <v>497</v>
      </c>
      <c r="H88" s="27">
        <v>45036</v>
      </c>
      <c r="I88" t="s">
        <v>42</v>
      </c>
      <c r="J88" t="s">
        <v>53</v>
      </c>
    </row>
    <row r="89" spans="1:11" x14ac:dyDescent="0.3">
      <c r="A89" s="13">
        <v>84</v>
      </c>
      <c r="B89" s="13">
        <v>90</v>
      </c>
      <c r="C89" s="13">
        <v>9</v>
      </c>
      <c r="D89" s="21">
        <v>45345</v>
      </c>
      <c r="E89" s="21">
        <v>45435</v>
      </c>
      <c r="F89" t="s">
        <v>32</v>
      </c>
      <c r="G89" s="26">
        <v>285</v>
      </c>
      <c r="H89" s="27">
        <v>44999</v>
      </c>
      <c r="I89" t="s">
        <v>42</v>
      </c>
      <c r="J89" t="s">
        <v>53</v>
      </c>
    </row>
    <row r="90" spans="1:11" x14ac:dyDescent="0.3">
      <c r="A90" s="13">
        <v>85</v>
      </c>
      <c r="B90" s="13">
        <v>35</v>
      </c>
      <c r="C90" s="13">
        <v>2</v>
      </c>
      <c r="D90" s="21">
        <v>45299</v>
      </c>
      <c r="E90" s="21">
        <v>45362</v>
      </c>
      <c r="F90" t="s">
        <v>265</v>
      </c>
      <c r="G90" s="26">
        <v>208</v>
      </c>
      <c r="H90" s="27">
        <v>45113</v>
      </c>
      <c r="I90" t="s">
        <v>42</v>
      </c>
      <c r="J90" t="s">
        <v>53</v>
      </c>
    </row>
    <row r="91" spans="1:11" x14ac:dyDescent="0.3">
      <c r="A91" s="13">
        <v>86</v>
      </c>
      <c r="B91" s="13">
        <v>5</v>
      </c>
      <c r="C91" s="13">
        <v>3</v>
      </c>
      <c r="D91" s="21">
        <v>45288</v>
      </c>
      <c r="E91" s="21">
        <v>45395</v>
      </c>
      <c r="F91" t="s">
        <v>32</v>
      </c>
      <c r="G91" s="26">
        <v>313</v>
      </c>
      <c r="H91" s="27">
        <v>44998</v>
      </c>
      <c r="I91" t="s">
        <v>42</v>
      </c>
      <c r="J91" t="s">
        <v>53</v>
      </c>
    </row>
    <row r="92" spans="1:11" x14ac:dyDescent="0.3">
      <c r="A92" s="13">
        <v>87</v>
      </c>
      <c r="B92" s="13">
        <v>9</v>
      </c>
      <c r="C92" s="13">
        <v>13</v>
      </c>
      <c r="D92" s="21">
        <v>45228</v>
      </c>
      <c r="E92" s="21">
        <v>45451</v>
      </c>
      <c r="F92" t="s">
        <v>265</v>
      </c>
      <c r="G92" s="26">
        <v>604</v>
      </c>
      <c r="H92" s="27">
        <v>45032</v>
      </c>
      <c r="I92" t="s">
        <v>42</v>
      </c>
      <c r="J92" t="s">
        <v>53</v>
      </c>
    </row>
    <row r="93" spans="1:11" x14ac:dyDescent="0.3">
      <c r="A93" s="13">
        <v>88</v>
      </c>
      <c r="B93" s="13">
        <v>94</v>
      </c>
      <c r="C93" s="13">
        <v>12</v>
      </c>
      <c r="D93" s="21">
        <v>45233</v>
      </c>
      <c r="E93" s="21">
        <v>45428</v>
      </c>
      <c r="F93" t="s">
        <v>265</v>
      </c>
      <c r="G93" s="26">
        <v>494</v>
      </c>
      <c r="H93" s="27">
        <v>45149</v>
      </c>
      <c r="I93" t="s">
        <v>42</v>
      </c>
      <c r="J93" t="s">
        <v>53</v>
      </c>
    </row>
    <row r="94" spans="1:11" x14ac:dyDescent="0.3">
      <c r="A94" s="13">
        <v>89</v>
      </c>
      <c r="B94" s="13">
        <v>59</v>
      </c>
      <c r="C94" s="13">
        <v>15</v>
      </c>
      <c r="D94" s="21">
        <v>45237</v>
      </c>
      <c r="E94" s="21">
        <v>45372</v>
      </c>
      <c r="F94" t="s">
        <v>265</v>
      </c>
      <c r="G94" s="26">
        <v>333</v>
      </c>
      <c r="H94" s="27">
        <v>45021</v>
      </c>
      <c r="I94" t="s">
        <v>42</v>
      </c>
      <c r="J94" t="s">
        <v>53</v>
      </c>
    </row>
    <row r="95" spans="1:11" x14ac:dyDescent="0.3">
      <c r="A95" s="13">
        <v>90</v>
      </c>
      <c r="B95" s="13">
        <v>89</v>
      </c>
      <c r="C95" s="13">
        <v>15</v>
      </c>
      <c r="D95" s="21">
        <v>45288</v>
      </c>
      <c r="E95" s="21">
        <v>45368</v>
      </c>
      <c r="F95" t="s">
        <v>265</v>
      </c>
      <c r="G95" s="26">
        <v>294</v>
      </c>
      <c r="H95" s="27">
        <v>45074</v>
      </c>
      <c r="I95" t="s">
        <v>42</v>
      </c>
      <c r="J95" t="s">
        <v>53</v>
      </c>
    </row>
    <row r="96" spans="1:11" x14ac:dyDescent="0.3">
      <c r="A96" s="13">
        <v>91</v>
      </c>
      <c r="B96" s="13">
        <v>30</v>
      </c>
      <c r="C96" s="13">
        <v>7</v>
      </c>
      <c r="D96" s="21">
        <v>45291</v>
      </c>
      <c r="E96" s="21">
        <v>45375</v>
      </c>
      <c r="F96" t="s">
        <v>32</v>
      </c>
      <c r="G96" s="26">
        <v>293</v>
      </c>
      <c r="H96" s="27">
        <v>45097</v>
      </c>
      <c r="I96" t="s">
        <v>42</v>
      </c>
      <c r="J96" t="s">
        <v>53</v>
      </c>
    </row>
    <row r="97" spans="1:11" x14ac:dyDescent="0.3">
      <c r="A97" s="13">
        <v>92</v>
      </c>
      <c r="B97" s="13">
        <v>65</v>
      </c>
      <c r="C97" s="13">
        <v>15</v>
      </c>
      <c r="D97" s="21">
        <v>45218</v>
      </c>
      <c r="E97" s="21">
        <v>45407</v>
      </c>
      <c r="F97" t="s">
        <v>265</v>
      </c>
      <c r="G97" s="26">
        <v>669</v>
      </c>
      <c r="H97" s="27">
        <v>45144</v>
      </c>
      <c r="I97" t="s">
        <v>50</v>
      </c>
      <c r="J97" t="s">
        <v>53</v>
      </c>
      <c r="K97" s="20">
        <v>45155</v>
      </c>
    </row>
    <row r="98" spans="1:11" x14ac:dyDescent="0.3">
      <c r="A98" s="13">
        <v>93</v>
      </c>
      <c r="B98" s="13">
        <v>28</v>
      </c>
      <c r="C98" s="13">
        <v>13</v>
      </c>
      <c r="D98" s="21">
        <v>45250</v>
      </c>
      <c r="E98" s="21">
        <v>45372</v>
      </c>
      <c r="F98" t="s">
        <v>265</v>
      </c>
      <c r="G98" s="26">
        <v>518</v>
      </c>
      <c r="H98" s="27">
        <v>45037</v>
      </c>
      <c r="I98" t="s">
        <v>42</v>
      </c>
      <c r="J98" t="s">
        <v>53</v>
      </c>
    </row>
    <row r="99" spans="1:11" x14ac:dyDescent="0.3">
      <c r="A99" s="13">
        <v>94</v>
      </c>
      <c r="B99" s="13">
        <v>52</v>
      </c>
      <c r="C99" s="13">
        <v>6</v>
      </c>
      <c r="D99" s="21">
        <v>45273</v>
      </c>
      <c r="E99" s="21">
        <v>45389</v>
      </c>
      <c r="F99" t="s">
        <v>265</v>
      </c>
      <c r="G99" s="26">
        <v>358</v>
      </c>
      <c r="H99" s="27">
        <v>45080</v>
      </c>
      <c r="I99" t="s">
        <v>42</v>
      </c>
      <c r="J99" t="s">
        <v>53</v>
      </c>
    </row>
    <row r="100" spans="1:11" x14ac:dyDescent="0.3">
      <c r="A100" s="13">
        <v>95</v>
      </c>
      <c r="B100" s="13">
        <v>61</v>
      </c>
      <c r="C100" s="13">
        <v>10</v>
      </c>
      <c r="D100" s="21">
        <v>45227</v>
      </c>
      <c r="E100" s="21">
        <v>45438</v>
      </c>
      <c r="F100" t="s">
        <v>32</v>
      </c>
      <c r="G100" s="26">
        <v>203</v>
      </c>
      <c r="H100" s="27">
        <v>45142</v>
      </c>
      <c r="I100" t="s">
        <v>42</v>
      </c>
      <c r="J100" t="s">
        <v>53</v>
      </c>
    </row>
    <row r="101" spans="1:11" x14ac:dyDescent="0.3">
      <c r="A101" s="13">
        <v>96</v>
      </c>
      <c r="B101" s="13">
        <v>44</v>
      </c>
      <c r="C101" s="13">
        <v>4</v>
      </c>
      <c r="D101" s="21">
        <v>45236</v>
      </c>
      <c r="E101" s="21">
        <v>45356</v>
      </c>
      <c r="F101" t="s">
        <v>32</v>
      </c>
      <c r="G101" s="26">
        <v>78</v>
      </c>
      <c r="H101" s="27">
        <v>45067</v>
      </c>
      <c r="I101" t="s">
        <v>42</v>
      </c>
      <c r="J101" t="s">
        <v>53</v>
      </c>
    </row>
    <row r="102" spans="1:11" x14ac:dyDescent="0.3">
      <c r="A102" s="13">
        <v>97</v>
      </c>
      <c r="B102" s="13">
        <v>67</v>
      </c>
      <c r="C102" s="13">
        <v>8</v>
      </c>
      <c r="D102" s="21">
        <v>45313</v>
      </c>
      <c r="E102" s="21">
        <v>45351</v>
      </c>
      <c r="F102" t="s">
        <v>32</v>
      </c>
      <c r="G102" s="26">
        <v>536</v>
      </c>
      <c r="H102" s="27">
        <v>44937</v>
      </c>
      <c r="I102" t="s">
        <v>42</v>
      </c>
      <c r="J102" t="s">
        <v>53</v>
      </c>
    </row>
    <row r="103" spans="1:11" x14ac:dyDescent="0.3">
      <c r="A103" s="13">
        <v>98</v>
      </c>
      <c r="B103" s="13">
        <v>38</v>
      </c>
      <c r="C103" s="13">
        <v>6</v>
      </c>
      <c r="D103" s="21">
        <v>45300</v>
      </c>
      <c r="E103" s="21">
        <v>45439</v>
      </c>
      <c r="F103" t="s">
        <v>32</v>
      </c>
      <c r="G103" s="26">
        <v>79</v>
      </c>
      <c r="H103" s="27">
        <v>45059</v>
      </c>
      <c r="I103" t="s">
        <v>42</v>
      </c>
      <c r="J103" t="s">
        <v>53</v>
      </c>
    </row>
    <row r="104" spans="1:11" x14ac:dyDescent="0.3">
      <c r="A104" s="13">
        <v>99</v>
      </c>
      <c r="B104" s="13">
        <v>24</v>
      </c>
      <c r="C104" s="13">
        <v>5</v>
      </c>
      <c r="D104" s="21">
        <v>45214</v>
      </c>
      <c r="E104" s="21">
        <v>45456</v>
      </c>
      <c r="F104" t="s">
        <v>32</v>
      </c>
      <c r="G104" s="26">
        <v>564</v>
      </c>
      <c r="H104" s="27">
        <v>45043</v>
      </c>
      <c r="I104" t="s">
        <v>59</v>
      </c>
      <c r="J104" t="s">
        <v>53</v>
      </c>
      <c r="K104" s="20">
        <v>45156</v>
      </c>
    </row>
    <row r="105" spans="1:11" x14ac:dyDescent="0.3">
      <c r="A105" s="13">
        <v>100</v>
      </c>
      <c r="B105" s="13">
        <v>71</v>
      </c>
      <c r="C105" s="13">
        <v>3</v>
      </c>
      <c r="D105" s="21">
        <v>45313</v>
      </c>
      <c r="E105" s="21">
        <v>45399</v>
      </c>
      <c r="F105" t="s">
        <v>32</v>
      </c>
      <c r="G105" s="26">
        <v>585</v>
      </c>
      <c r="H105" s="27">
        <v>45119</v>
      </c>
      <c r="I105" t="s">
        <v>59</v>
      </c>
      <c r="J105" t="s">
        <v>53</v>
      </c>
      <c r="K105" s="20">
        <v>45156</v>
      </c>
    </row>
  </sheetData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3" name="Button 5">
              <controlPr defaultSize="0" print="0" autoFill="0" autoPict="0" macro="[0]!ShowEmployeeByIDUF">
                <anchor moveWithCells="1" sizeWithCells="1">
                  <from>
                    <xdr:col>0</xdr:col>
                    <xdr:colOff>266700</xdr:colOff>
                    <xdr:row>1</xdr:row>
                    <xdr:rowOff>22860</xdr:rowOff>
                  </from>
                  <to>
                    <xdr:col>3</xdr:col>
                    <xdr:colOff>30480</xdr:colOff>
                    <xdr:row>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080D-4E63-4E3F-B340-67D2E439EE63}">
  <sheetPr codeName="Sheet3"/>
  <dimension ref="B2:H16"/>
  <sheetViews>
    <sheetView workbookViewId="0">
      <selection activeCell="B28" sqref="B28"/>
    </sheetView>
  </sheetViews>
  <sheetFormatPr defaultRowHeight="14.4" x14ac:dyDescent="0.3"/>
  <cols>
    <col min="2" max="2" width="10.33203125" bestFit="1" customWidth="1"/>
    <col min="3" max="3" width="11.6640625" bestFit="1" customWidth="1"/>
    <col min="7" max="7" width="14.6640625" bestFit="1" customWidth="1"/>
    <col min="8" max="8" width="19.21875" bestFit="1" customWidth="1"/>
  </cols>
  <sheetData>
    <row r="2" spans="2:8" x14ac:dyDescent="0.3">
      <c r="B2" s="2" t="s">
        <v>1</v>
      </c>
      <c r="C2" s="2" t="s">
        <v>2</v>
      </c>
      <c r="D2" s="2" t="s">
        <v>22</v>
      </c>
      <c r="G2" s="4" t="s">
        <v>7</v>
      </c>
    </row>
    <row r="3" spans="2:8" x14ac:dyDescent="0.3">
      <c r="B3" t="s">
        <v>10</v>
      </c>
      <c r="C3" t="s">
        <v>11</v>
      </c>
      <c r="D3" t="s">
        <v>23</v>
      </c>
      <c r="G3" t="s">
        <v>32</v>
      </c>
    </row>
    <row r="4" spans="2:8" x14ac:dyDescent="0.3">
      <c r="B4" t="s">
        <v>12</v>
      </c>
      <c r="C4" t="s">
        <v>16</v>
      </c>
      <c r="D4" t="s">
        <v>24</v>
      </c>
      <c r="G4" t="s">
        <v>31</v>
      </c>
    </row>
    <row r="5" spans="2:8" x14ac:dyDescent="0.3">
      <c r="B5" t="s">
        <v>13</v>
      </c>
      <c r="C5" t="s">
        <v>20</v>
      </c>
    </row>
    <row r="6" spans="2:8" x14ac:dyDescent="0.3">
      <c r="B6" t="s">
        <v>14</v>
      </c>
      <c r="C6" t="s">
        <v>21</v>
      </c>
    </row>
    <row r="11" spans="2:8" x14ac:dyDescent="0.3">
      <c r="B11" s="1" t="s">
        <v>1</v>
      </c>
      <c r="C11" s="1" t="s">
        <v>5</v>
      </c>
      <c r="D11" s="1" t="s">
        <v>6</v>
      </c>
      <c r="E11" s="1"/>
      <c r="G11" s="1" t="s">
        <v>49</v>
      </c>
      <c r="H11" s="1" t="s">
        <v>52</v>
      </c>
    </row>
    <row r="12" spans="2:8" x14ac:dyDescent="0.3">
      <c r="B12" t="s">
        <v>14</v>
      </c>
      <c r="C12" t="s">
        <v>27</v>
      </c>
      <c r="D12" t="s">
        <v>41</v>
      </c>
      <c r="G12" t="s">
        <v>42</v>
      </c>
      <c r="H12" t="s">
        <v>53</v>
      </c>
    </row>
    <row r="13" spans="2:8" x14ac:dyDescent="0.3">
      <c r="B13" t="s">
        <v>12</v>
      </c>
      <c r="C13" t="s">
        <v>28</v>
      </c>
      <c r="D13" t="s">
        <v>33</v>
      </c>
      <c r="G13" t="s">
        <v>50</v>
      </c>
      <c r="H13" t="s">
        <v>54</v>
      </c>
    </row>
    <row r="14" spans="2:8" x14ac:dyDescent="0.3">
      <c r="B14" t="s">
        <v>10</v>
      </c>
      <c r="C14" t="s">
        <v>29</v>
      </c>
      <c r="D14" t="s">
        <v>34</v>
      </c>
      <c r="G14" t="s">
        <v>59</v>
      </c>
      <c r="H14" t="s">
        <v>1</v>
      </c>
    </row>
    <row r="15" spans="2:8" x14ac:dyDescent="0.3">
      <c r="B15" t="s">
        <v>13</v>
      </c>
      <c r="C15" t="s">
        <v>30</v>
      </c>
      <c r="D15" t="s">
        <v>35</v>
      </c>
      <c r="G15" t="s">
        <v>51</v>
      </c>
      <c r="H15" t="s">
        <v>55</v>
      </c>
    </row>
    <row r="16" spans="2:8" x14ac:dyDescent="0.3">
      <c r="C16" t="s">
        <v>40</v>
      </c>
      <c r="D16" t="s">
        <v>36</v>
      </c>
      <c r="H16" t="s">
        <v>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23ABF-C46B-4F36-8D54-EDDD2A51DCC0}">
  <sheetPr codeName="Sheet4"/>
  <dimension ref="B2:D11"/>
  <sheetViews>
    <sheetView workbookViewId="0">
      <selection activeCell="B9" sqref="B9"/>
    </sheetView>
  </sheetViews>
  <sheetFormatPr defaultRowHeight="14.4" x14ac:dyDescent="0.3"/>
  <cols>
    <col min="2" max="2" width="28.77734375" customWidth="1"/>
    <col min="3" max="3" width="34.109375" customWidth="1"/>
    <col min="4" max="4" width="33.33203125" style="9" bestFit="1" customWidth="1"/>
  </cols>
  <sheetData>
    <row r="2" spans="2:4" s="6" customFormat="1" x14ac:dyDescent="0.3">
      <c r="B2" s="7" t="s">
        <v>47</v>
      </c>
      <c r="C2" s="7" t="s">
        <v>58</v>
      </c>
      <c r="D2" s="8"/>
    </row>
    <row r="3" spans="2:4" x14ac:dyDescent="0.3">
      <c r="B3">
        <f>COUNTA(Employee!B2:B981)-1</f>
        <v>101</v>
      </c>
      <c r="C3">
        <f>COUNTA(Vehicle!B1:B9961)-1</f>
        <v>16</v>
      </c>
      <c r="D3" s="10" t="s">
        <v>48</v>
      </c>
    </row>
    <row r="4" spans="2:4" x14ac:dyDescent="0.3">
      <c r="B4" t="s">
        <v>281</v>
      </c>
      <c r="C4" t="s">
        <v>281</v>
      </c>
      <c r="D4" s="10" t="s">
        <v>25</v>
      </c>
    </row>
    <row r="5" spans="2:4" x14ac:dyDescent="0.3">
      <c r="B5">
        <v>101</v>
      </c>
      <c r="C5">
        <v>17</v>
      </c>
      <c r="D5" s="10" t="s">
        <v>26</v>
      </c>
    </row>
    <row r="8" spans="2:4" x14ac:dyDescent="0.3">
      <c r="B8" s="1" t="s">
        <v>57</v>
      </c>
      <c r="C8" s="1"/>
    </row>
    <row r="9" spans="2:4" s="11" customFormat="1" x14ac:dyDescent="0.3">
      <c r="B9" s="11">
        <f>COUNTA(Request!A1:A9875)-1</f>
        <v>100</v>
      </c>
      <c r="D9" s="12" t="s">
        <v>48</v>
      </c>
    </row>
    <row r="10" spans="2:4" x14ac:dyDescent="0.3">
      <c r="B10" t="s">
        <v>281</v>
      </c>
      <c r="D10" s="10" t="s">
        <v>25</v>
      </c>
    </row>
    <row r="11" spans="2:4" x14ac:dyDescent="0.3">
      <c r="B11">
        <v>3</v>
      </c>
      <c r="D11" s="10" t="s">
        <v>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CDDC07-6C53-4BE2-B670-005D412534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Vehicle</vt:lpstr>
      <vt:lpstr>Employee</vt:lpstr>
      <vt:lpstr>Request</vt:lpstr>
      <vt:lpstr>List</vt:lpstr>
      <vt:lpstr>Engine</vt:lpstr>
      <vt:lpstr>Data_Start</vt:lpstr>
      <vt:lpstr>Employee_Start</vt:lpstr>
      <vt:lpstr>Request_Start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Bronwyn Young</dc:creator>
  <cp:lastModifiedBy>Bronwyn Young</cp:lastModifiedBy>
  <dcterms:created xsi:type="dcterms:W3CDTF">2023-08-07T08:04:03Z</dcterms:created>
  <dcterms:modified xsi:type="dcterms:W3CDTF">2023-08-18T13:09:24Z</dcterms:modified>
</cp:coreProperties>
</file>